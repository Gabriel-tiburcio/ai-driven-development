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ucas.zagallo/Downloads/"/>
    </mc:Choice>
  </mc:AlternateContent>
  <xr:revisionPtr revIDLastSave="0" documentId="8_{022D2D1C-A2C4-D443-A996-CFDF757FB0E1}" xr6:coauthVersionLast="47" xr6:coauthVersionMax="47" xr10:uidLastSave="{00000000-0000-0000-0000-000000000000}"/>
  <bookViews>
    <workbookView xWindow="-20" yWindow="600" windowWidth="28800" windowHeight="15560" activeTab="4" xr2:uid="{00000000-000D-0000-FFFF-FFFF00000000}"/>
  </bookViews>
  <sheets>
    <sheet name="🏠 Instruções" sheetId="1" r:id="rId1"/>
    <sheet name="📋 Premissas" sheetId="2" r:id="rId2"/>
    <sheet name="📊 Projeção 3 Anos" sheetId="3" r:id="rId3"/>
    <sheet name="🚀 Dashboard Investidor" sheetId="4" r:id="rId4"/>
    <sheet name="📚 Guia Investidor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4" l="1"/>
  <c r="E19" i="4"/>
  <c r="D19" i="4"/>
  <c r="C19" i="4"/>
  <c r="I18" i="4"/>
  <c r="E18" i="4"/>
  <c r="D18" i="4"/>
  <c r="C18" i="4"/>
  <c r="I17" i="4"/>
  <c r="E16" i="4"/>
  <c r="E17" i="4" s="1"/>
  <c r="D16" i="4"/>
  <c r="D17" i="4" s="1"/>
  <c r="C16" i="4"/>
  <c r="C17" i="4" s="1"/>
  <c r="I14" i="4"/>
  <c r="E14" i="4"/>
  <c r="D14" i="4"/>
  <c r="C14" i="4"/>
  <c r="G6" i="4"/>
  <c r="E26" i="3"/>
  <c r="D26" i="3"/>
  <c r="C26" i="3"/>
  <c r="C25" i="3"/>
  <c r="E19" i="3"/>
  <c r="D19" i="3"/>
  <c r="C19" i="3"/>
  <c r="E18" i="3"/>
  <c r="D18" i="3"/>
  <c r="C18" i="3"/>
  <c r="F18" i="3" s="1"/>
  <c r="E17" i="3"/>
  <c r="D17" i="3"/>
  <c r="C17" i="3"/>
  <c r="F17" i="3" s="1"/>
  <c r="E16" i="3"/>
  <c r="D16" i="3"/>
  <c r="C16" i="3"/>
  <c r="F16" i="3" s="1"/>
  <c r="E15" i="3"/>
  <c r="D15" i="3"/>
  <c r="C15" i="3"/>
  <c r="F15" i="3" s="1"/>
  <c r="E42" i="2"/>
  <c r="D42" i="2"/>
  <c r="C42" i="2"/>
  <c r="E36" i="2"/>
  <c r="E27" i="3" s="1"/>
  <c r="D36" i="2"/>
  <c r="D27" i="3" s="1"/>
  <c r="C36" i="2"/>
  <c r="C27" i="3" s="1"/>
  <c r="E29" i="2"/>
  <c r="D29" i="2"/>
  <c r="C29" i="2"/>
  <c r="E18" i="2"/>
  <c r="E8" i="3" s="1"/>
  <c r="D18" i="2"/>
  <c r="D8" i="3" s="1"/>
  <c r="C18" i="2"/>
  <c r="C8" i="3" s="1"/>
  <c r="F8" i="3" s="1"/>
  <c r="C11" i="2"/>
  <c r="F19" i="3" l="1"/>
  <c r="C13" i="4"/>
  <c r="C12" i="2"/>
  <c r="D11" i="2"/>
  <c r="C19" i="2" l="1"/>
  <c r="C30" i="2" s="1"/>
  <c r="C20" i="3" s="1"/>
  <c r="F20" i="3" s="1"/>
  <c r="C7" i="3"/>
  <c r="E11" i="2"/>
  <c r="D12" i="2"/>
  <c r="D13" i="4"/>
  <c r="C9" i="3" l="1"/>
  <c r="D6" i="4"/>
  <c r="E13" i="4"/>
  <c r="E12" i="2"/>
  <c r="I13" i="4"/>
  <c r="D19" i="2"/>
  <c r="D30" i="2" s="1"/>
  <c r="D20" i="3" s="1"/>
  <c r="D7" i="3"/>
  <c r="D9" i="3" s="1"/>
  <c r="C12" i="3" l="1"/>
  <c r="C11" i="4"/>
  <c r="C12" i="4"/>
  <c r="D23" i="4"/>
  <c r="E7" i="3"/>
  <c r="E19" i="2"/>
  <c r="E30" i="2" s="1"/>
  <c r="E20" i="3" s="1"/>
  <c r="D12" i="3"/>
  <c r="D13" i="3"/>
  <c r="D11" i="4"/>
  <c r="D12" i="4"/>
  <c r="D21" i="3" l="1"/>
  <c r="D22" i="3" s="1"/>
  <c r="D21" i="4" s="1"/>
  <c r="D14" i="3"/>
  <c r="F7" i="3"/>
  <c r="E9" i="3"/>
  <c r="D20" i="4"/>
  <c r="F12" i="3"/>
  <c r="C13" i="3"/>
  <c r="I23" i="4" l="1"/>
  <c r="E23" i="4"/>
  <c r="F9" i="3"/>
  <c r="E12" i="3"/>
  <c r="E13" i="3" s="1"/>
  <c r="F13" i="3" s="1"/>
  <c r="B6" i="4"/>
  <c r="E11" i="4"/>
  <c r="I11" i="4"/>
  <c r="E12" i="4"/>
  <c r="I12" i="4"/>
  <c r="C21" i="3"/>
  <c r="C14" i="3"/>
  <c r="C22" i="3" l="1"/>
  <c r="C21" i="4" s="1"/>
  <c r="C28" i="3"/>
  <c r="C20" i="4"/>
  <c r="E21" i="3"/>
  <c r="F21" i="3" s="1"/>
  <c r="E14" i="3"/>
  <c r="D25" i="3" l="1"/>
  <c r="D28" i="3" s="1"/>
  <c r="C29" i="3"/>
  <c r="C22" i="4" s="1"/>
  <c r="I20" i="4"/>
  <c r="E20" i="4"/>
  <c r="E29" i="3"/>
  <c r="E22" i="3"/>
  <c r="D29" i="3" l="1"/>
  <c r="D22" i="4" s="1"/>
  <c r="E25" i="3"/>
  <c r="E28" i="3" s="1"/>
  <c r="E22" i="4"/>
  <c r="I22" i="4"/>
  <c r="I21" i="4"/>
  <c r="E21" i="4"/>
</calcChain>
</file>

<file path=xl/sharedStrings.xml><?xml version="1.0" encoding="utf-8"?>
<sst xmlns="http://schemas.openxmlformats.org/spreadsheetml/2006/main" count="232" uniqueCount="216">
  <si>
    <t>FIAP — Modelo de Projeção Financeira para Startups (MVP)</t>
  </si>
  <si>
    <t>Projeção 3 Anos · Indicadores para Investidores</t>
  </si>
  <si>
    <t>📌  LEGENDA DE CORES</t>
  </si>
  <si>
    <t>Células AMARELAS</t>
  </si>
  <si>
    <t>← Preencha aqui!  São os dados de entrada da sua startup</t>
  </si>
  <si>
    <t>Texto AZUL</t>
  </si>
  <si>
    <t>← Valores que você deve inserir (inputs / premissas)</t>
  </si>
  <si>
    <t>Texto PRETO</t>
  </si>
  <si>
    <t>← Fórmulas calculadas automaticamente. Não edite.</t>
  </si>
  <si>
    <t>Texto VERDE</t>
  </si>
  <si>
    <t>← Dados que vêm de outra aba (cross-reference).</t>
  </si>
  <si>
    <t>📖  PASSO A PASSO</t>
  </si>
  <si>
    <t xml:space="preserve">  1.  📋 Premissas</t>
  </si>
  <si>
    <t>Preencha os dados AZUL: modelo de receita, preço, crescimento de clientes, churn e investimento inicial.</t>
  </si>
  <si>
    <t xml:space="preserve">  2.  💸 Despesas</t>
  </si>
  <si>
    <t>Informe os principais blocos de custo da sua operação nos 3 anos.</t>
  </si>
  <si>
    <t xml:space="preserve">  3.  📊 Projeção 3 Anos</t>
  </si>
  <si>
    <t>Gerada automaticamente com base nas suas premissas. Confira receita, lucro e fluxo de caixa.</t>
  </si>
  <si>
    <t xml:space="preserve">  4.  🚀 Dashboard Inv.</t>
  </si>
  <si>
    <t>Painel automático com os KPIs que investidores analisam: MRR, CAC, LTV, Churn, Runway e mais.</t>
  </si>
  <si>
    <t>⚠️  IMPORTANTE</t>
  </si>
  <si>
    <t>Horizonte:</t>
  </si>
  <si>
    <t>Esta planilha cobre 3 anos (Ano 1 → Ano 3). Suficiente para avaliar viabilidade em estágio MVP/Seed.</t>
  </si>
  <si>
    <t>Formato moeda:</t>
  </si>
  <si>
    <t>Todos os valores em R$ (Reais). Ajuste o ticket médio conforme seu mercado.</t>
  </si>
  <si>
    <t>Modelo de receita:</t>
  </si>
  <si>
    <t>O modelo usa lógica de recorrência (SaaS/assinatura). Adapte o ticket para outros modelos.</t>
  </si>
  <si>
    <t>📋  PREMISSAS DO NEGÓCIO — preencha apenas as células amarelas</t>
  </si>
  <si>
    <t>Células ROSA = você preenche   |   Células CINZAS = calculadas automaticamente   |   Células VERDES = vêm de outra aba</t>
  </si>
  <si>
    <t>Premissa / Item</t>
  </si>
  <si>
    <t>ANO 1</t>
  </si>
  <si>
    <t>ANO 2</t>
  </si>
  <si>
    <t>ANO 3</t>
  </si>
  <si>
    <t>Dica para preencher</t>
  </si>
  <si>
    <t>💰  RECEITA — LINHA 1  (principal fonte de receita do seu negócio)</t>
  </si>
  <si>
    <t>Ex: assinatura mensal, venda de produto, taxa por uso</t>
  </si>
  <si>
    <t>Nome / descrição da receita</t>
  </si>
  <si>
    <t>Assinatura SaaS AllStay</t>
  </si>
  <si>
    <t>Descreva o que o cliente paga (ex: mensalidade, comissão, licença)</t>
  </si>
  <si>
    <t>Ticket médio por cliente / transação (R$)</t>
  </si>
  <si>
    <t>Quanto cada cliente paga por mês (ou por compra/uso)</t>
  </si>
  <si>
    <t>Novos clientes conquistados por mês</t>
  </si>
  <si>
    <t>Média mensal necessária para atingir a base ativa projetada, considerando churn de 1/15 ao mês.</t>
  </si>
  <si>
    <t>% Churn — clientes que cancelam por mês</t>
  </si>
  <si>
    <t>Permanência média de 15 meses: churn mensal aproximado = 1/15 = 6,67%.</t>
  </si>
  <si>
    <t xml:space="preserve">    ▸ Clientes ativos ao final do ano</t>
  </si>
  <si>
    <t>Calculado: novos clientes menos cancelamentos ao longo do ano</t>
  </si>
  <si>
    <t xml:space="preserve">    ▸ Receita Anual — Linha 1 (R$)</t>
  </si>
  <si>
    <t>Receita anual = clientes ativos × ticket × 12 meses</t>
  </si>
  <si>
    <t>💰  RECEITA — LINHA 2  (segunda fonte de receita — opcional)</t>
  </si>
  <si>
    <t>Ex: consultoria, venda avulsa, comissão. Deixe zero se não tiver.</t>
  </si>
  <si>
    <t>Nome / descrição da receita 2</t>
  </si>
  <si>
    <t>Contrato Enterprise Customizado</t>
  </si>
  <si>
    <t>Se não tiver 2ª receita, deixe os valores abaixo como zero</t>
  </si>
  <si>
    <t>Valor médio recebido por cliente/projeto desta linha</t>
  </si>
  <si>
    <t>Clientes ou transações por mês</t>
  </si>
  <si>
    <t>Número de contratos Enterprise Customizados ativos no mês.</t>
  </si>
  <si>
    <t xml:space="preserve">    ▸ Receita Anual — Linha 2 (R$)</t>
  </si>
  <si>
    <t>Receita anual = ticket × transações/mês × 12</t>
  </si>
  <si>
    <t>▸ RECEITA TOTAL ANUAL (R$)</t>
  </si>
  <si>
    <t>Soma automática das duas linhas de receita</t>
  </si>
  <si>
    <t>💸  CUSTOS OPERACIONAIS — quanto você gasta por mês (R$)</t>
  </si>
  <si>
    <t>Preencha os valores mensais de cada categoria de custo</t>
  </si>
  <si>
    <t>Categoria de Custo</t>
  </si>
  <si>
    <t>ANO 1 /mês</t>
  </si>
  <si>
    <t>ANO 2 /mês</t>
  </si>
  <si>
    <t>ANO 3 /mês</t>
  </si>
  <si>
    <t>O que incluir aqui?</t>
  </si>
  <si>
    <t>👥  Pessoal (salários + encargos)</t>
  </si>
  <si>
    <t>Sócios pró-labore, funcionários, freelancers. Inclua INSS e FGTS (~30% do salário bruto)</t>
  </si>
  <si>
    <t>📣  Marketing e Aquisição de Clientes</t>
  </si>
  <si>
    <t>Eventos, feiras e prospecção B2B; R$100 mil/ano.</t>
  </si>
  <si>
    <t>🤝  Vendas e Comissões</t>
  </si>
  <si>
    <t>Comissões separadas não consideradas; equipe comercial está em Pessoal.</t>
  </si>
  <si>
    <t>🖥️  Tecnologia e Infraestrutura (Tech)</t>
  </si>
  <si>
    <t>Cloud/servidores (AWS, GCP), APIs, ferramentas de dev, domínio, SaaS usados</t>
  </si>
  <si>
    <t>🏢  Administrativo (G&amp;A)</t>
  </si>
  <si>
    <t>Aluguel, contador, advogado, internet, softwares de escritório, material</t>
  </si>
  <si>
    <t>🧾  Impostos sobre receita (%)</t>
  </si>
  <si>
    <t>Tributação não incluída nesta projeção de EBITDA; validar regime tributário posteriormente.</t>
  </si>
  <si>
    <t>▸ Total Custo Operacional/mês (R$)</t>
  </si>
  <si>
    <t>Soma automática de todas as categorias (sem impostos)</t>
  </si>
  <si>
    <t xml:space="preserve">    ▸ Impostos sobre receita (R$)</t>
  </si>
  <si>
    <t>Calculado: receita total × % de imposto informado acima</t>
  </si>
  <si>
    <t>🚀  INVESTIMENTO INICIAL E CAPTAÇÃO</t>
  </si>
  <si>
    <t>O que você precisa para começar e de onde vem o dinheiro</t>
  </si>
  <si>
    <t>Investimento inicial em tecnologia/produto (R$)</t>
  </si>
  <si>
    <t>MVP (R$100 mil) + infraestrutura inicial do MVP (R$30 mil).</t>
  </si>
  <si>
    <t>Investimento inicial em marketing/lançamento (R$)</t>
  </si>
  <si>
    <t>Eventos de lançamento e estruturação comercial B2B.</t>
  </si>
  <si>
    <t>Outros investimentos iniciais (R$)</t>
  </si>
  <si>
    <t>Constituição da empresa e apoio jurídico inicial.</t>
  </si>
  <si>
    <t>▸ Total de Investimento no Ano (R$)</t>
  </si>
  <si>
    <t>Soma dos três itens acima</t>
  </si>
  <si>
    <t>Capital próprio disponível (R$)</t>
  </si>
  <si>
    <t>Aporte inicial total: CAPEX + capital de giro + reserva de contingência = R$2,553 milhões.</t>
  </si>
  <si>
    <t>Captação externa prevista no ano (R$)</t>
  </si>
  <si>
    <t>Anjo, Seed, FAPESP, BNDES — coloque 0 se não há previsão</t>
  </si>
  <si>
    <t>📐  MARGEM BRUTA — custo direto do que você entrega</t>
  </si>
  <si>
    <t>COGS = custo direto de cada produto/serviço vendido (sem contar estrutura)</t>
  </si>
  <si>
    <t>% do custo direto sobre a receita (COGS %)</t>
  </si>
  <si>
    <t>Ex: hosting por cliente, mão de obra por projeto, custo de produto. Benchmark SaaS: 20–35%</t>
  </si>
  <si>
    <t xml:space="preserve">    ▸ Margem Bruta % (calculada)</t>
  </si>
  <si>
    <t>Saudavel: acima de 60%</t>
  </si>
  <si>
    <t>📊  PROJEÇÃO FINANCEIRA — 3 ANOS</t>
  </si>
  <si>
    <t>Calculado automaticamente com base nas premissas  |  Não edite esta aba</t>
  </si>
  <si>
    <t>Linha Financeira</t>
  </si>
  <si>
    <t>Var. Ano1→3</t>
  </si>
  <si>
    <t>💰  RECEITA</t>
  </si>
  <si>
    <t>Receita Linha 1 (R$)</t>
  </si>
  <si>
    <t>Receita Linha 2 (R$)</t>
  </si>
  <si>
    <t>RECEITA TOTAL (R$)</t>
  </si>
  <si>
    <t>💸  CUSTOS E DESPESAS</t>
  </si>
  <si>
    <t xml:space="preserve">    (-) COGS — Custo Direto do Serviço/Produto (R$)</t>
  </si>
  <si>
    <t>LUCRO BRUTO (R$)</t>
  </si>
  <si>
    <t xml:space="preserve">       Margem Bruta %</t>
  </si>
  <si>
    <t xml:space="preserve">    (-) Pessoal — salários e encargos (R$)</t>
  </si>
  <si>
    <t xml:space="preserve">    (-) Marketing e Aquisição (R$)</t>
  </si>
  <si>
    <t xml:space="preserve">    (-) Vendas e Comissões (R$)</t>
  </si>
  <si>
    <t xml:space="preserve">    (-) Tecnologia e Infra (R$)</t>
  </si>
  <si>
    <t xml:space="preserve">    (-) Administrativo / G&amp;A (R$)</t>
  </si>
  <si>
    <t xml:space="preserve">    (-) Impostos sobre Receita (R$)</t>
  </si>
  <si>
    <t>EBITDA — Resultado Operacional (R$)</t>
  </si>
  <si>
    <t xml:space="preserve">       EBITDA Margin %</t>
  </si>
  <si>
    <t>🏦  FLUXO DE CAIXA SIMPLIFICADO</t>
  </si>
  <si>
    <t>Caixa no início do ano (R$)</t>
  </si>
  <si>
    <t>(+) Captação externa / Aporte (R$)</t>
  </si>
  <si>
    <t>(-) Investimento / Capex (R$)</t>
  </si>
  <si>
    <t>CAIXA FINAL DO ANO (R$)</t>
  </si>
  <si>
    <t xml:space="preserve">       Runway — meses de vida do caixa</t>
  </si>
  <si>
    <t>🚀  DASHBOARD DO INVESTIDOR — KPIs de Startup em MVP</t>
  </si>
  <si>
    <t>Calculado automaticamente a partir das suas premissas  |  Benchmarks: mercado SaaS/Tech Brasil</t>
  </si>
  <si>
    <t xml:space="preserve">  VISÃO GERAL — ANO 3</t>
  </si>
  <si>
    <t>Receita Anual (ARR)</t>
  </si>
  <si>
    <t>Clientes Ativos</t>
  </si>
  <si>
    <t>Margem Bruta %</t>
  </si>
  <si>
    <t>Meta: &gt; R$1M</t>
  </si>
  <si>
    <t>Meta: &gt; 300</t>
  </si>
  <si>
    <t>&gt; 60%</t>
  </si>
  <si>
    <t xml:space="preserve">  INDICADORES DETALHADOS — OS NÚMEROS QUE INVESTIDORES ANALISAM</t>
  </si>
  <si>
    <t>KPI</t>
  </si>
  <si>
    <t>O que significa?</t>
  </si>
  <si>
    <t>Benchmark</t>
  </si>
  <si>
    <t>Status (Ano 3)</t>
  </si>
  <si>
    <t>MRR — Receita Recorrente Mensal</t>
  </si>
  <si>
    <t>Receita mensal recorrente — principal termômetro de crescimento</t>
  </si>
  <si>
    <t>&gt; R$50K Ano2  /  &gt; R$80K Ano3</t>
  </si>
  <si>
    <t>ARR — Receita Anual Recorrente</t>
  </si>
  <si>
    <t>ARR = MRR × 12 — define o 'tamanho' do negócio para o investidor</t>
  </si>
  <si>
    <t>&gt; R$500K Ano2  /  &gt; R$1M Ano3</t>
  </si>
  <si>
    <t>Base de clientes pagantes — prova de tração do produto</t>
  </si>
  <si>
    <t>&gt; 100 Ano1  /  &gt; 300 Ano3</t>
  </si>
  <si>
    <t>Churn Mensal %</t>
  </si>
  <si>
    <t>% de clientes perdidos/mês — quanto menor, melhor o produto</t>
  </si>
  <si>
    <t>&lt; 3%/mês (SaaS B2B)  /  &lt; 5% (B2C)</t>
  </si>
  <si>
    <t>CAC — Custo por Cliente (R$)</t>
  </si>
  <si>
    <t>Quanto custa adquirir 1 cliente — deve cair ao longo do tempo</t>
  </si>
  <si>
    <t>Deve ser &lt; LTV/3</t>
  </si>
  <si>
    <t>"-"</t>
  </si>
  <si>
    <t>LTV — Valor do Cliente (R$)</t>
  </si>
  <si>
    <t>Receita total esperada por cliente enquanto ele ficar ativo</t>
  </si>
  <si>
    <t>&gt; 3× o CAC (mínimo)</t>
  </si>
  <si>
    <t>LTV / CAC</t>
  </si>
  <si>
    <t>Retorno sobre custo de aquisição — &gt; 3x = modelo sustentável</t>
  </si>
  <si>
    <t>&gt; 3x aceitável  /  &gt; 5x excelente</t>
  </si>
  <si>
    <t>Payback (meses)</t>
  </si>
  <si>
    <t>Meses para recuperar o CAC — quanto menor, mais eficiente</t>
  </si>
  <si>
    <t>&lt; 12 meses  /  Ideal: &lt; 6 meses</t>
  </si>
  <si>
    <t>% da receita que sobra após custos diretos — indica escalabilidade</t>
  </si>
  <si>
    <t>60–80% SaaS  /  &gt; 50% outros</t>
  </si>
  <si>
    <t>EBITDA (R$)</t>
  </si>
  <si>
    <t>Resultado operacional — negativo no início é normal, deve virar positivo</t>
  </si>
  <si>
    <t>Positivo a partir do Ano 2 ou 3</t>
  </si>
  <si>
    <t>EBITDA Margin %</t>
  </si>
  <si>
    <t>% do faturamento que vira lucro operacional</t>
  </si>
  <si>
    <t>&gt; 15% no Ano 3</t>
  </si>
  <si>
    <t>Runway (meses de caixa)</t>
  </si>
  <si>
    <t>Quantos meses o caixa dura — abaixo de 12 = zona de perigo</t>
  </si>
  <si>
    <t>&gt; 18 meses sempre</t>
  </si>
  <si>
    <t>Crescimento de Receita YoY %</t>
  </si>
  <si>
    <t>Taxa de crescimento da receita ano a ano — crucial para VC</t>
  </si>
  <si>
    <t>&gt; 100% Ano2  /  &gt; 80% Ano3</t>
  </si>
  <si>
    <t>📚 Glossário: MRR=Receita mensal  |  ARR=MRR×12  |  CAC=Custo de aquisição  |  LTV=Valor vitalício do cliente  |  Churn=Cancelamento  |  EBITDA=Lucro operacional  |  Runway=Sobrevida do caixa</t>
  </si>
  <si>
    <t>GUIA: O QUE UM INVESTIDOR ANALISA EM UM MVP</t>
  </si>
  <si>
    <t>Indicador</t>
  </si>
  <si>
    <t>Por que importa?</t>
  </si>
  <si>
    <t>Benchmark de referência</t>
  </si>
  <si>
    <t>MRR / ARR</t>
  </si>
  <si>
    <t>Mede o tamanho real do negócio recorrente. É o primeiro número que um VC olha. Crescimento &gt;20% ao mês indica tração.</t>
  </si>
  <si>
    <t>Early-stage: MRR &gt;R$50K
Série A: ARR &gt;R$2M</t>
  </si>
  <si>
    <t>Churn Rate</t>
  </si>
  <si>
    <t>Se o produto não retém clientes, não há negócio escalável. Alto churn = problema de product-market fit.</t>
  </si>
  <si>
    <t>&lt; 2%/mês (SaaS B2B)
&lt; 5%/mês (SaaS B2C)</t>
  </si>
  <si>
    <t>Mede eficiência do modelo: para cada R$1 gasto em aquisição, quanto retorna? &lt; 3x sinaliza modelo insustentável.</t>
  </si>
  <si>
    <t>&gt; 3x aceitável
&gt; 5x excelente</t>
  </si>
  <si>
    <t>Payback Period</t>
  </si>
  <si>
    <t>Quanto tempo para recuperar o CAC. Curto payback = negócio mais eficiente e escalável com menos capital.</t>
  </si>
  <si>
    <t>&lt; 12 meses (ideal &lt; 6)</t>
  </si>
  <si>
    <t>Margem Bruta</t>
  </si>
  <si>
    <t>% da receita que sobra após COGS. Indica escalabilidade — negócio com 70%+ pode crescer sem custo proporcional.</t>
  </si>
  <si>
    <t>SaaS: 60–80%
Marketplace: 40–60%</t>
  </si>
  <si>
    <t>EBITDA / Burn</t>
  </si>
  <si>
    <t>Quanto o negócio gera ou consome de caixa operacionalmente. Negativo é ok no início, mas precisa ter caminho claro.</t>
  </si>
  <si>
    <t>Positivo no Ano 2 ou 3</t>
  </si>
  <si>
    <t>Runway</t>
  </si>
  <si>
    <t>Quantos meses de vida o caixa garante. &lt; 12 meses = zona de perigo. Indica quando a próxima captação é necessária.</t>
  </si>
  <si>
    <t>&gt; 18 meses pós-rodada</t>
  </si>
  <si>
    <t>Crescimento YoY</t>
  </si>
  <si>
    <t>Taxa de crescimento ano a ano da receita. Principal indicador de momentum para VCs. Define valuation.</t>
  </si>
  <si>
    <t>100–300% Seed
80–150% Série A</t>
  </si>
  <si>
    <t>NRR (Net Revenue Retention)</t>
  </si>
  <si>
    <t>% da receita de clientes do ano anterior que se manteve + expansão. &gt; 100% = crescimento sem novos clientes.</t>
  </si>
  <si>
    <t>&gt; 100% (best-in-class &gt;120%)</t>
  </si>
  <si>
    <t>TAM / SAM / SOM</t>
  </si>
  <si>
    <t>Tamanho do mercado endereçável. Investidor precisa ver potencial de escala suficiente para retorno.</t>
  </si>
  <si>
    <t>TAM &gt;R$1B
SOM realista em 3–5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</si>
</sst>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;&quot;(R$&quot;#,##0\);\-"/>
    <numFmt numFmtId="165" formatCode="#,##0;\(#,##0\);\-"/>
    <numFmt numFmtId="166" formatCode="0.0%;\(0.0%\);\-"/>
    <numFmt numFmtId="167" formatCode="#,##0.0;\(#,##0.0\);\-"/>
    <numFmt numFmtId="168" formatCode="0.0\x"/>
  </numFmts>
  <fonts count="31" x14ac:knownFonts="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sz val="10"/>
      <color rgb="FF000000"/>
      <name val="Arial"/>
      <charset val="1"/>
    </font>
    <font>
      <i/>
      <sz val="11"/>
      <color rgb="FFCC0000"/>
      <name val="Arial"/>
      <charset val="1"/>
    </font>
    <font>
      <b/>
      <sz val="10"/>
      <color rgb="FF1F1F1F"/>
      <name val="Arial"/>
      <charset val="1"/>
    </font>
    <font>
      <b/>
      <sz val="9"/>
      <color rgb="FF0070C0"/>
      <name val="Arial"/>
      <charset val="1"/>
    </font>
    <font>
      <sz val="9"/>
      <color rgb="FF1F1F1F"/>
      <name val="Arial"/>
      <charset val="1"/>
    </font>
    <font>
      <b/>
      <sz val="9"/>
      <color rgb="FF000000"/>
      <name val="Arial"/>
      <charset val="1"/>
    </font>
    <font>
      <b/>
      <sz val="9"/>
      <color rgb="FF007030"/>
      <name val="Arial"/>
      <charset val="1"/>
    </font>
    <font>
      <b/>
      <sz val="9"/>
      <color rgb="FFCC0000"/>
      <name val="Arial"/>
      <charset val="1"/>
    </font>
    <font>
      <b/>
      <sz val="10"/>
      <color rgb="FF7F6000"/>
      <name val="Arial"/>
      <charset val="1"/>
    </font>
    <font>
      <sz val="9"/>
      <color rgb="FF4A4A4A"/>
      <name val="Arial"/>
      <charset val="1"/>
    </font>
    <font>
      <b/>
      <sz val="12"/>
      <color rgb="FFFFFFFF"/>
      <name val="Arial"/>
      <charset val="1"/>
    </font>
    <font>
      <i/>
      <sz val="8"/>
      <color rgb="FF4A4A4A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i/>
      <sz val="8"/>
      <color rgb="FF888888"/>
      <name val="Arial"/>
      <charset val="1"/>
    </font>
    <font>
      <sz val="9"/>
      <color rgb="FF0070C0"/>
      <name val="Arial"/>
      <charset val="1"/>
    </font>
    <font>
      <sz val="9"/>
      <color rgb="FF000000"/>
      <name val="Arial"/>
      <charset val="1"/>
    </font>
    <font>
      <b/>
      <sz val="8"/>
      <color rgb="FF4A4A4A"/>
      <name val="Arial"/>
      <charset val="1"/>
    </font>
    <font>
      <b/>
      <sz val="13"/>
      <color rgb="FFFFFFFF"/>
      <name val="Arial"/>
      <charset val="1"/>
    </font>
    <font>
      <b/>
      <sz val="9"/>
      <color rgb="FF1F1F1F"/>
      <name val="Arial"/>
      <charset val="1"/>
    </font>
    <font>
      <sz val="9"/>
      <color rgb="FF007030"/>
      <name val="Arial"/>
      <charset val="1"/>
    </font>
    <font>
      <b/>
      <sz val="14"/>
      <color rgb="FFFFFFFF"/>
      <name val="Arial"/>
      <charset val="1"/>
    </font>
    <font>
      <b/>
      <sz val="9"/>
      <color rgb="FF4A4A4A"/>
      <name val="Arial"/>
      <charset val="1"/>
    </font>
    <font>
      <b/>
      <sz val="14"/>
      <color rgb="FFCC0000"/>
      <name val="Arial"/>
      <charset val="1"/>
    </font>
    <font>
      <sz val="8"/>
      <color rgb="FF888888"/>
      <name val="Arial"/>
      <charset val="1"/>
    </font>
    <font>
      <b/>
      <sz val="8"/>
      <color rgb="FFFFFFFF"/>
      <name val="Arial"/>
      <charset val="1"/>
    </font>
    <font>
      <sz val="9"/>
      <color theme="1"/>
      <name val="Arial"/>
      <charset val="1"/>
    </font>
    <font>
      <sz val="8"/>
      <color rgb="FF4A4A4A"/>
      <name val="Arial"/>
      <charset val="1"/>
    </font>
    <font>
      <b/>
      <sz val="9"/>
      <color theme="1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CC0000"/>
        <bgColor rgb="FF9E1A1A"/>
      </patternFill>
    </fill>
    <fill>
      <patternFill patternType="solid">
        <fgColor rgb="FFD9D9D9"/>
        <bgColor rgb="FFCCCCCC"/>
      </patternFill>
    </fill>
    <fill>
      <patternFill patternType="solid">
        <fgColor rgb="FFFFF2CC"/>
        <bgColor rgb="FFFFF0F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E0E0"/>
        <bgColor rgb="FFFFF0F0"/>
      </patternFill>
    </fill>
    <fill>
      <patternFill patternType="solid">
        <fgColor rgb="FF1F1F1F"/>
        <bgColor rgb="FF003300"/>
      </patternFill>
    </fill>
    <fill>
      <patternFill patternType="solid">
        <fgColor rgb="FF4A4A4A"/>
        <bgColor rgb="FF555555"/>
      </patternFill>
    </fill>
    <fill>
      <patternFill patternType="solid">
        <fgColor rgb="FF9E1A1A"/>
        <bgColor rgb="FF800000"/>
      </patternFill>
    </fill>
    <fill>
      <patternFill patternType="solid">
        <fgColor rgb="FF1A4A7A"/>
        <bgColor rgb="FF333399"/>
      </patternFill>
    </fill>
    <fill>
      <patternFill patternType="solid">
        <fgColor rgb="FF555555"/>
        <bgColor rgb="FF4A4A4A"/>
      </patternFill>
    </fill>
    <fill>
      <patternFill patternType="solid">
        <fgColor rgb="FFFFF0F0"/>
        <bgColor rgb="FFF2F2F2"/>
      </patternFill>
    </fill>
    <fill>
      <patternFill patternType="solid">
        <fgColor rgb="FFF9F9F9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49" fontId="17" fillId="4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horizontal="center" vertical="center"/>
    </xf>
    <xf numFmtId="166" fontId="17" fillId="4" borderId="1" xfId="0" applyNumberFormat="1" applyFont="1" applyFill="1" applyBorder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164" fontId="14" fillId="9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164" fontId="14" fillId="8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164" fontId="14" fillId="11" borderId="1" xfId="0" applyNumberFormat="1" applyFont="1" applyFill="1" applyBorder="1" applyAlignment="1">
      <alignment horizontal="center" vertical="center"/>
    </xf>
    <xf numFmtId="166" fontId="18" fillId="5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6" fontId="11" fillId="5" borderId="1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166" fontId="14" fillId="9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22" fillId="5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167" fontId="11" fillId="5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164" fontId="25" fillId="13" borderId="1" xfId="0" applyNumberFormat="1" applyFont="1" applyFill="1" applyBorder="1" applyAlignment="1">
      <alignment horizontal="center" vertical="center"/>
    </xf>
    <xf numFmtId="165" fontId="25" fillId="13" borderId="1" xfId="0" applyNumberFormat="1" applyFont="1" applyFill="1" applyBorder="1" applyAlignment="1">
      <alignment horizontal="center" vertical="center"/>
    </xf>
    <xf numFmtId="166" fontId="25" fillId="13" borderId="1" xfId="0" applyNumberFormat="1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13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164" fontId="28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/>
    </xf>
    <xf numFmtId="165" fontId="28" fillId="5" borderId="1" xfId="0" applyNumberFormat="1" applyFont="1" applyFill="1" applyBorder="1" applyAlignment="1">
      <alignment horizontal="center" vertical="center"/>
    </xf>
    <xf numFmtId="166" fontId="28" fillId="6" borderId="1" xfId="0" applyNumberFormat="1" applyFont="1" applyFill="1" applyBorder="1" applyAlignment="1">
      <alignment horizontal="center" vertical="center"/>
    </xf>
    <xf numFmtId="168" fontId="28" fillId="5" borderId="1" xfId="0" applyNumberFormat="1" applyFont="1" applyFill="1" applyBorder="1" applyAlignment="1">
      <alignment horizontal="center" vertical="center"/>
    </xf>
    <xf numFmtId="167" fontId="28" fillId="6" borderId="1" xfId="0" applyNumberFormat="1" applyFont="1" applyFill="1" applyBorder="1" applyAlignment="1">
      <alignment horizontal="center" vertical="center"/>
    </xf>
    <xf numFmtId="166" fontId="2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FFF2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0F0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A7A"/>
      <rgbColor rgb="FF339966"/>
      <rgbColor rgb="FF003300"/>
      <rgbColor rgb="FF4A4A4A"/>
      <rgbColor rgb="FF9E1A1A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showGridLines="0" zoomScaleNormal="100" workbookViewId="0">
      <selection activeCell="B16" sqref="B16"/>
    </sheetView>
  </sheetViews>
  <sheetFormatPr baseColWidth="10" defaultColWidth="14.5" defaultRowHeight="15" customHeight="1" x14ac:dyDescent="0.2"/>
  <cols>
    <col min="1" max="1" width="3" customWidth="1"/>
    <col min="2" max="2" width="38" customWidth="1"/>
    <col min="3" max="3" width="70" customWidth="1"/>
    <col min="4" max="26" width="8.6640625" customWidth="1"/>
  </cols>
  <sheetData>
    <row r="1" spans="2:3" ht="49.5" customHeight="1" x14ac:dyDescent="0.2">
      <c r="B1" s="14" t="s">
        <v>0</v>
      </c>
      <c r="C1" s="14"/>
    </row>
    <row r="2" spans="2:3" ht="7.5" customHeight="1" x14ac:dyDescent="0.2">
      <c r="B2" s="13"/>
      <c r="C2" s="13"/>
    </row>
    <row r="3" spans="2:3" ht="15" customHeight="1" x14ac:dyDescent="0.2">
      <c r="B3" s="15" t="s">
        <v>1</v>
      </c>
    </row>
    <row r="5" spans="2:3" ht="18" customHeight="1" x14ac:dyDescent="0.2">
      <c r="B5" s="12" t="s">
        <v>2</v>
      </c>
      <c r="C5" s="12"/>
    </row>
    <row r="6" spans="2:3" ht="15.75" customHeight="1" x14ac:dyDescent="0.2">
      <c r="B6" s="16" t="s">
        <v>3</v>
      </c>
      <c r="C6" s="17" t="s">
        <v>4</v>
      </c>
    </row>
    <row r="7" spans="2:3" ht="15.75" customHeight="1" x14ac:dyDescent="0.2">
      <c r="B7" s="18" t="s">
        <v>5</v>
      </c>
      <c r="C7" s="17" t="s">
        <v>6</v>
      </c>
    </row>
    <row r="8" spans="2:3" ht="15.75" customHeight="1" x14ac:dyDescent="0.2">
      <c r="B8" s="19" t="s">
        <v>7</v>
      </c>
      <c r="C8" s="17" t="s">
        <v>8</v>
      </c>
    </row>
    <row r="9" spans="2:3" ht="15.75" customHeight="1" x14ac:dyDescent="0.2">
      <c r="B9" s="20" t="s">
        <v>9</v>
      </c>
      <c r="C9" s="17" t="s">
        <v>10</v>
      </c>
    </row>
    <row r="11" spans="2:3" ht="7.5" customHeight="1" x14ac:dyDescent="0.2"/>
    <row r="12" spans="2:3" ht="15" customHeight="1" x14ac:dyDescent="0.2">
      <c r="B12" s="12" t="s">
        <v>11</v>
      </c>
      <c r="C12" s="12"/>
    </row>
    <row r="13" spans="2:3" ht="30" customHeight="1" x14ac:dyDescent="0.2">
      <c r="B13" s="21" t="s">
        <v>12</v>
      </c>
      <c r="C13" s="22" t="s">
        <v>13</v>
      </c>
    </row>
    <row r="14" spans="2:3" ht="30" customHeight="1" x14ac:dyDescent="0.2">
      <c r="B14" s="21" t="s">
        <v>14</v>
      </c>
      <c r="C14" s="22" t="s">
        <v>15</v>
      </c>
    </row>
    <row r="15" spans="2:3" ht="30" customHeight="1" x14ac:dyDescent="0.2">
      <c r="B15" s="21" t="s">
        <v>16</v>
      </c>
      <c r="C15" s="22" t="s">
        <v>17</v>
      </c>
    </row>
    <row r="16" spans="2:3" ht="30" customHeight="1" x14ac:dyDescent="0.2">
      <c r="B16" s="21" t="s">
        <v>18</v>
      </c>
      <c r="C16" s="22" t="s">
        <v>19</v>
      </c>
    </row>
    <row r="18" spans="2:3" ht="7.5" customHeight="1" x14ac:dyDescent="0.2"/>
    <row r="19" spans="2:3" ht="15" customHeight="1" x14ac:dyDescent="0.2">
      <c r="B19" s="11" t="s">
        <v>20</v>
      </c>
      <c r="C19" s="11"/>
    </row>
    <row r="20" spans="2:3" ht="15" customHeight="1" x14ac:dyDescent="0.2">
      <c r="B20" s="23" t="s">
        <v>21</v>
      </c>
      <c r="C20" s="24" t="s">
        <v>22</v>
      </c>
    </row>
    <row r="21" spans="2:3" ht="15" customHeight="1" x14ac:dyDescent="0.2">
      <c r="B21" s="23" t="s">
        <v>23</v>
      </c>
      <c r="C21" s="24" t="s">
        <v>24</v>
      </c>
    </row>
    <row r="22" spans="2:3" ht="15" customHeight="1" x14ac:dyDescent="0.2">
      <c r="B22" s="23" t="s">
        <v>25</v>
      </c>
      <c r="C22" s="24" t="s">
        <v>26</v>
      </c>
    </row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C1"/>
    <mergeCell ref="B2:C2"/>
    <mergeCell ref="B5:C5"/>
    <mergeCell ref="B12:C12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showGridLines="0" topLeftCell="A4" zoomScale="101" zoomScaleNormal="100" workbookViewId="0">
      <selection activeCell="B11" sqref="B11"/>
    </sheetView>
  </sheetViews>
  <sheetFormatPr baseColWidth="10" defaultColWidth="14.5" defaultRowHeight="15" customHeight="1" x14ac:dyDescent="0.2"/>
  <cols>
    <col min="1" max="1" width="2" customWidth="1"/>
    <col min="2" max="2" width="38" customWidth="1"/>
    <col min="3" max="5" width="18" customWidth="1"/>
    <col min="6" max="6" width="28" customWidth="1"/>
    <col min="7" max="26" width="8.6640625" customWidth="1"/>
  </cols>
  <sheetData>
    <row r="1" spans="2:6" ht="30" customHeight="1" x14ac:dyDescent="0.2">
      <c r="B1" s="10" t="s">
        <v>27</v>
      </c>
      <c r="C1" s="10"/>
      <c r="D1" s="10"/>
      <c r="E1" s="10"/>
      <c r="F1" s="10"/>
    </row>
    <row r="2" spans="2:6" ht="13.5" customHeight="1" x14ac:dyDescent="0.2">
      <c r="B2" s="9" t="s">
        <v>28</v>
      </c>
      <c r="C2" s="9"/>
      <c r="D2" s="9"/>
      <c r="E2" s="9"/>
      <c r="F2" s="9"/>
    </row>
    <row r="4" spans="2:6" ht="19.5" customHeight="1" x14ac:dyDescent="0.2">
      <c r="B4" s="25" t="s">
        <v>29</v>
      </c>
      <c r="C4" s="26" t="s">
        <v>30</v>
      </c>
      <c r="D4" s="26" t="s">
        <v>31</v>
      </c>
      <c r="E4" s="26" t="s">
        <v>32</v>
      </c>
      <c r="F4" s="27" t="s">
        <v>33</v>
      </c>
    </row>
    <row r="6" spans="2:6" ht="21.75" customHeight="1" x14ac:dyDescent="0.2">
      <c r="B6" s="8" t="s">
        <v>34</v>
      </c>
      <c r="C6" s="8"/>
      <c r="D6" s="8"/>
      <c r="E6" s="8"/>
      <c r="F6" s="28" t="s">
        <v>35</v>
      </c>
    </row>
    <row r="7" spans="2:6" ht="18" customHeight="1" x14ac:dyDescent="0.2">
      <c r="B7" s="29" t="s">
        <v>36</v>
      </c>
      <c r="C7" s="30" t="s">
        <v>37</v>
      </c>
      <c r="D7" s="30" t="s">
        <v>37</v>
      </c>
      <c r="E7" s="30" t="s">
        <v>37</v>
      </c>
      <c r="F7" s="28" t="s">
        <v>38</v>
      </c>
    </row>
    <row r="8" spans="2:6" ht="18" customHeight="1" x14ac:dyDescent="0.2">
      <c r="B8" s="29" t="s">
        <v>39</v>
      </c>
      <c r="C8" s="31">
        <v>7500</v>
      </c>
      <c r="D8" s="31">
        <v>7500</v>
      </c>
      <c r="E8" s="31">
        <v>7500</v>
      </c>
      <c r="F8" s="28" t="s">
        <v>40</v>
      </c>
    </row>
    <row r="9" spans="2:6" ht="18" customHeight="1" x14ac:dyDescent="0.2">
      <c r="B9" s="29" t="s">
        <v>41</v>
      </c>
      <c r="C9" s="32">
        <v>0.59202386490000003</v>
      </c>
      <c r="D9" s="32">
        <v>1.1621667443000001</v>
      </c>
      <c r="E9" s="32">
        <v>1.7472381839</v>
      </c>
      <c r="F9" s="28" t="s">
        <v>42</v>
      </c>
    </row>
    <row r="10" spans="2:6" ht="18" customHeight="1" x14ac:dyDescent="0.2">
      <c r="B10" s="29" t="s">
        <v>43</v>
      </c>
      <c r="C10" s="33">
        <v>6.6666666666666693E-2</v>
      </c>
      <c r="D10" s="33">
        <v>6.6666666666666693E-2</v>
      </c>
      <c r="E10" s="33">
        <v>6.6666666666666693E-2</v>
      </c>
      <c r="F10" s="28" t="s">
        <v>44</v>
      </c>
    </row>
    <row r="11" spans="2:6" ht="18" customHeight="1" x14ac:dyDescent="0.2">
      <c r="B11" s="29" t="s">
        <v>45</v>
      </c>
      <c r="C11" s="34">
        <f>C9*(1-C10)*0+C9*((1-(1-C10)^12)/C10)</f>
        <v>4.9999999996565698</v>
      </c>
      <c r="D11" s="34">
        <f>C11*(1-D10)^12+D9*((1-(1-D10)^12)/D10)</f>
        <v>12.000000000269996</v>
      </c>
      <c r="E11" s="34">
        <f>D11*(1-E10)^12+E9*((1-(1-E10)^12)/E10)</f>
        <v>20.000000000075222</v>
      </c>
      <c r="F11" s="28" t="s">
        <v>46</v>
      </c>
    </row>
    <row r="12" spans="2:6" ht="18" customHeight="1" x14ac:dyDescent="0.2">
      <c r="B12" s="29" t="s">
        <v>47</v>
      </c>
      <c r="C12" s="35">
        <f>C11*C8*12</f>
        <v>449999.99996909127</v>
      </c>
      <c r="D12" s="35">
        <f>D11*D8*12</f>
        <v>1080000.0000242996</v>
      </c>
      <c r="E12" s="35">
        <f>E11*E8*12</f>
        <v>1800000.0000067698</v>
      </c>
      <c r="F12" s="28" t="s">
        <v>48</v>
      </c>
    </row>
    <row r="14" spans="2:6" ht="21.75" customHeight="1" x14ac:dyDescent="0.2">
      <c r="B14" s="7" t="s">
        <v>49</v>
      </c>
      <c r="C14" s="7"/>
      <c r="D14" s="7"/>
      <c r="E14" s="7"/>
      <c r="F14" s="28" t="s">
        <v>50</v>
      </c>
    </row>
    <row r="15" spans="2:6" ht="18" customHeight="1" x14ac:dyDescent="0.2">
      <c r="B15" s="29" t="s">
        <v>51</v>
      </c>
      <c r="C15" s="30" t="s">
        <v>52</v>
      </c>
      <c r="D15" s="30" t="s">
        <v>52</v>
      </c>
      <c r="E15" s="30" t="s">
        <v>52</v>
      </c>
      <c r="F15" s="28" t="s">
        <v>53</v>
      </c>
    </row>
    <row r="16" spans="2:6" ht="18" customHeight="1" x14ac:dyDescent="0.2">
      <c r="B16" s="29" t="s">
        <v>39</v>
      </c>
      <c r="C16" s="31">
        <v>0</v>
      </c>
      <c r="D16" s="31">
        <v>0</v>
      </c>
      <c r="E16" s="31">
        <v>100000</v>
      </c>
      <c r="F16" s="28" t="s">
        <v>54</v>
      </c>
    </row>
    <row r="17" spans="2:6" ht="18" customHeight="1" x14ac:dyDescent="0.2">
      <c r="B17" s="29" t="s">
        <v>55</v>
      </c>
      <c r="C17" s="32">
        <v>0</v>
      </c>
      <c r="D17" s="32">
        <v>0</v>
      </c>
      <c r="E17" s="32">
        <v>1</v>
      </c>
      <c r="F17" s="28" t="s">
        <v>56</v>
      </c>
    </row>
    <row r="18" spans="2:6" ht="18" customHeight="1" x14ac:dyDescent="0.2">
      <c r="B18" s="29" t="s">
        <v>57</v>
      </c>
      <c r="C18" s="35">
        <f>C16*C17*12</f>
        <v>0</v>
      </c>
      <c r="D18" s="35">
        <f>D16*D17*12</f>
        <v>0</v>
      </c>
      <c r="E18" s="35">
        <f>E16*E17*12</f>
        <v>1200000</v>
      </c>
      <c r="F18" s="28" t="s">
        <v>58</v>
      </c>
    </row>
    <row r="19" spans="2:6" ht="18" customHeight="1" x14ac:dyDescent="0.2">
      <c r="B19" s="36" t="s">
        <v>59</v>
      </c>
      <c r="C19" s="37">
        <f>C12+C18</f>
        <v>449999.99996909127</v>
      </c>
      <c r="D19" s="37">
        <f>D12+D18</f>
        <v>1080000.0000242996</v>
      </c>
      <c r="E19" s="37">
        <f>E12+E18</f>
        <v>3000000.0000067698</v>
      </c>
      <c r="F19" s="28" t="s">
        <v>60</v>
      </c>
    </row>
    <row r="21" spans="2:6" ht="21.75" customHeight="1" x14ac:dyDescent="0.2">
      <c r="B21" s="6" t="s">
        <v>61</v>
      </c>
      <c r="C21" s="6"/>
      <c r="D21" s="6"/>
      <c r="E21" s="6"/>
      <c r="F21" s="28" t="s">
        <v>62</v>
      </c>
    </row>
    <row r="22" spans="2:6" ht="15.75" customHeight="1" x14ac:dyDescent="0.2">
      <c r="B22" s="38" t="s">
        <v>63</v>
      </c>
      <c r="C22" s="39" t="s">
        <v>64</v>
      </c>
      <c r="D22" s="39" t="s">
        <v>65</v>
      </c>
      <c r="E22" s="39" t="s">
        <v>66</v>
      </c>
      <c r="F22" s="38" t="s">
        <v>67</v>
      </c>
    </row>
    <row r="23" spans="2:6" ht="33" customHeight="1" x14ac:dyDescent="0.2">
      <c r="B23" s="29" t="s">
        <v>68</v>
      </c>
      <c r="C23" s="31">
        <v>77000</v>
      </c>
      <c r="D23" s="31">
        <v>104500</v>
      </c>
      <c r="E23" s="31">
        <v>154500</v>
      </c>
      <c r="F23" s="28" t="s">
        <v>69</v>
      </c>
    </row>
    <row r="24" spans="2:6" ht="18" customHeight="1" x14ac:dyDescent="0.2">
      <c r="B24" s="29" t="s">
        <v>70</v>
      </c>
      <c r="C24" s="31">
        <v>8333.3333330000005</v>
      </c>
      <c r="D24" s="31">
        <v>8333.3333330000005</v>
      </c>
      <c r="E24" s="31">
        <v>8333.3333330000005</v>
      </c>
      <c r="F24" s="28" t="s">
        <v>71</v>
      </c>
    </row>
    <row r="25" spans="2:6" ht="30.75" customHeight="1" x14ac:dyDescent="0.2">
      <c r="B25" s="29" t="s">
        <v>72</v>
      </c>
      <c r="C25" s="31">
        <v>0</v>
      </c>
      <c r="D25" s="31">
        <v>0</v>
      </c>
      <c r="E25" s="31">
        <v>0</v>
      </c>
      <c r="F25" s="28" t="s">
        <v>73</v>
      </c>
    </row>
    <row r="26" spans="2:6" ht="32.25" customHeight="1" x14ac:dyDescent="0.2">
      <c r="B26" s="29" t="s">
        <v>74</v>
      </c>
      <c r="C26" s="31">
        <v>7500</v>
      </c>
      <c r="D26" s="31">
        <v>11000</v>
      </c>
      <c r="E26" s="31">
        <v>15000</v>
      </c>
      <c r="F26" s="28" t="s">
        <v>75</v>
      </c>
    </row>
    <row r="27" spans="2:6" ht="30" customHeight="1" x14ac:dyDescent="0.2">
      <c r="B27" s="29" t="s">
        <v>76</v>
      </c>
      <c r="C27" s="31">
        <v>4000</v>
      </c>
      <c r="D27" s="31">
        <v>8666.6666669999995</v>
      </c>
      <c r="E27" s="31">
        <v>10666.666666666701</v>
      </c>
      <c r="F27" s="28" t="s">
        <v>77</v>
      </c>
    </row>
    <row r="28" spans="2:6" ht="38.25" customHeight="1" x14ac:dyDescent="0.2">
      <c r="B28" s="29" t="s">
        <v>78</v>
      </c>
      <c r="C28" s="33">
        <v>0</v>
      </c>
      <c r="D28" s="33">
        <v>0</v>
      </c>
      <c r="E28" s="33">
        <v>8.5000000000000006E-2</v>
      </c>
      <c r="F28" s="28" t="s">
        <v>79</v>
      </c>
    </row>
    <row r="29" spans="2:6" ht="18.75" customHeight="1" x14ac:dyDescent="0.2">
      <c r="B29" s="40" t="s">
        <v>80</v>
      </c>
      <c r="C29" s="41">
        <f>C23+C24+C25+C26+C27</f>
        <v>96833.333333000002</v>
      </c>
      <c r="D29" s="41">
        <f>D23+D24+D25+D26+D27</f>
        <v>132500</v>
      </c>
      <c r="E29" s="41">
        <f>E23+E24+E25+E26+E27</f>
        <v>188499.9999996667</v>
      </c>
      <c r="F29" s="28" t="s">
        <v>81</v>
      </c>
    </row>
    <row r="30" spans="2:6" ht="18" customHeight="1" x14ac:dyDescent="0.2">
      <c r="B30" s="29" t="s">
        <v>82</v>
      </c>
      <c r="C30" s="35">
        <f>C19*C28</f>
        <v>0</v>
      </c>
      <c r="D30" s="35">
        <f>D19*D28</f>
        <v>0</v>
      </c>
      <c r="E30" s="35">
        <f>E19*E28</f>
        <v>255000.00000057544</v>
      </c>
      <c r="F30" s="28" t="s">
        <v>83</v>
      </c>
    </row>
    <row r="31" spans="2:6" ht="15.75" customHeight="1" x14ac:dyDescent="0.2"/>
    <row r="32" spans="2:6" ht="21.75" customHeight="1" x14ac:dyDescent="0.2">
      <c r="B32" s="5" t="s">
        <v>84</v>
      </c>
      <c r="C32" s="5"/>
      <c r="D32" s="5"/>
      <c r="E32" s="5"/>
      <c r="F32" s="28" t="s">
        <v>85</v>
      </c>
    </row>
    <row r="33" spans="2:6" ht="18" customHeight="1" x14ac:dyDescent="0.2">
      <c r="B33" s="29" t="s">
        <v>86</v>
      </c>
      <c r="C33" s="31">
        <v>130000</v>
      </c>
      <c r="D33" s="31">
        <v>0</v>
      </c>
      <c r="E33" s="31">
        <v>0</v>
      </c>
      <c r="F33" s="28" t="s">
        <v>87</v>
      </c>
    </row>
    <row r="34" spans="2:6" ht="18" customHeight="1" x14ac:dyDescent="0.2">
      <c r="B34" s="29" t="s">
        <v>88</v>
      </c>
      <c r="C34" s="31">
        <v>50000</v>
      </c>
      <c r="D34" s="31">
        <v>0</v>
      </c>
      <c r="E34" s="31">
        <v>0</v>
      </c>
      <c r="F34" s="28" t="s">
        <v>89</v>
      </c>
    </row>
    <row r="35" spans="2:6" ht="18" customHeight="1" x14ac:dyDescent="0.2">
      <c r="B35" s="29" t="s">
        <v>90</v>
      </c>
      <c r="C35" s="31">
        <v>20000</v>
      </c>
      <c r="D35" s="31">
        <v>0</v>
      </c>
      <c r="E35" s="31">
        <v>0</v>
      </c>
      <c r="F35" s="28" t="s">
        <v>91</v>
      </c>
    </row>
    <row r="36" spans="2:6" ht="18" customHeight="1" x14ac:dyDescent="0.2">
      <c r="B36" s="42" t="s">
        <v>92</v>
      </c>
      <c r="C36" s="43">
        <f>C33+C34+C35</f>
        <v>200000</v>
      </c>
      <c r="D36" s="43">
        <f>D33+D34+D35</f>
        <v>0</v>
      </c>
      <c r="E36" s="43">
        <f>E33+E34+E35</f>
        <v>0</v>
      </c>
      <c r="F36" s="28" t="s">
        <v>93</v>
      </c>
    </row>
    <row r="37" spans="2:6" ht="18" customHeight="1" x14ac:dyDescent="0.2">
      <c r="B37" s="29" t="s">
        <v>94</v>
      </c>
      <c r="C37" s="31">
        <v>1000000</v>
      </c>
      <c r="D37" s="31">
        <v>0</v>
      </c>
      <c r="E37" s="31">
        <v>0</v>
      </c>
      <c r="F37" s="28" t="s">
        <v>95</v>
      </c>
    </row>
    <row r="38" spans="2:6" ht="26" customHeight="1" x14ac:dyDescent="0.2">
      <c r="B38" s="29" t="s">
        <v>96</v>
      </c>
      <c r="C38" s="31"/>
      <c r="D38" s="31">
        <v>1553000</v>
      </c>
      <c r="E38" s="31">
        <v>0</v>
      </c>
      <c r="F38" s="28" t="s">
        <v>97</v>
      </c>
    </row>
    <row r="39" spans="2:6" ht="15.75" customHeight="1" x14ac:dyDescent="0.2"/>
    <row r="40" spans="2:6" ht="33.75" customHeight="1" x14ac:dyDescent="0.2">
      <c r="B40" s="4" t="s">
        <v>98</v>
      </c>
      <c r="C40" s="4"/>
      <c r="D40" s="4"/>
      <c r="E40" s="4"/>
      <c r="F40" s="28" t="s">
        <v>99</v>
      </c>
    </row>
    <row r="41" spans="2:6" ht="45.75" customHeight="1" x14ac:dyDescent="0.2">
      <c r="B41" s="29" t="s">
        <v>100</v>
      </c>
      <c r="C41" s="33">
        <v>0</v>
      </c>
      <c r="D41" s="33">
        <v>0</v>
      </c>
      <c r="E41" s="33">
        <v>0</v>
      </c>
      <c r="F41" s="28" t="s">
        <v>101</v>
      </c>
    </row>
    <row r="42" spans="2:6" ht="18" customHeight="1" x14ac:dyDescent="0.2">
      <c r="B42" s="29" t="s">
        <v>102</v>
      </c>
      <c r="C42" s="44">
        <f>1-C41</f>
        <v>1</v>
      </c>
      <c r="D42" s="44">
        <f>1-D41</f>
        <v>1</v>
      </c>
      <c r="E42" s="44">
        <f>1-E41</f>
        <v>1</v>
      </c>
      <c r="F42" s="45" t="s">
        <v>103</v>
      </c>
    </row>
    <row r="43" spans="2:6" ht="15.75" customHeight="1" x14ac:dyDescent="0.2"/>
    <row r="44" spans="2:6" ht="15.75" customHeight="1" x14ac:dyDescent="0.2"/>
    <row r="45" spans="2:6" ht="15.75" customHeight="1" x14ac:dyDescent="0.2"/>
    <row r="46" spans="2:6" ht="15.75" customHeight="1" x14ac:dyDescent="0.2"/>
    <row r="47" spans="2:6" ht="15.75" customHeight="1" x14ac:dyDescent="0.2"/>
    <row r="48" spans="2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B32:E32"/>
    <mergeCell ref="B40:E40"/>
    <mergeCell ref="B1:F1"/>
    <mergeCell ref="B2:F2"/>
    <mergeCell ref="B6:E6"/>
    <mergeCell ref="B14:E14"/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00"/>
  <sheetViews>
    <sheetView showGridLines="0" topLeftCell="A4" zoomScaleNormal="100" workbookViewId="0">
      <selection activeCell="B2" sqref="B2:F2"/>
    </sheetView>
  </sheetViews>
  <sheetFormatPr baseColWidth="10" defaultColWidth="14.5" defaultRowHeight="15" customHeight="1" x14ac:dyDescent="0.2"/>
  <cols>
    <col min="1" max="1" width="2" customWidth="1"/>
    <col min="2" max="2" width="40" customWidth="1"/>
    <col min="3" max="5" width="20" customWidth="1"/>
    <col min="6" max="6" width="18" customWidth="1"/>
    <col min="7" max="26" width="8.6640625" customWidth="1"/>
  </cols>
  <sheetData>
    <row r="1" spans="2:6" ht="30" customHeight="1" x14ac:dyDescent="0.2">
      <c r="B1" s="3" t="s">
        <v>104</v>
      </c>
      <c r="C1" s="3"/>
      <c r="D1" s="3"/>
      <c r="E1" s="3"/>
      <c r="F1" s="3"/>
    </row>
    <row r="2" spans="2:6" ht="13.5" customHeight="1" x14ac:dyDescent="0.2">
      <c r="B2" s="2" t="s">
        <v>105</v>
      </c>
      <c r="C2" s="2"/>
      <c r="D2" s="2"/>
      <c r="E2" s="2"/>
      <c r="F2" s="2"/>
    </row>
    <row r="4" spans="2:6" ht="19.5" customHeight="1" x14ac:dyDescent="0.2">
      <c r="B4" s="25" t="s">
        <v>106</v>
      </c>
      <c r="C4" s="26" t="s">
        <v>30</v>
      </c>
      <c r="D4" s="26" t="s">
        <v>31</v>
      </c>
      <c r="E4" s="26" t="s">
        <v>32</v>
      </c>
      <c r="F4" s="27" t="s">
        <v>107</v>
      </c>
    </row>
    <row r="6" spans="2:6" ht="21.75" customHeight="1" x14ac:dyDescent="0.2">
      <c r="B6" s="8" t="s">
        <v>108</v>
      </c>
      <c r="C6" s="8"/>
      <c r="D6" s="8"/>
      <c r="E6" s="8"/>
      <c r="F6" s="8"/>
    </row>
    <row r="7" spans="2:6" ht="18" customHeight="1" x14ac:dyDescent="0.2">
      <c r="B7" s="29" t="s">
        <v>109</v>
      </c>
      <c r="C7" s="35">
        <f>'📋 Premissas'!C12</f>
        <v>449999.99996909127</v>
      </c>
      <c r="D7" s="35">
        <f>'📋 Premissas'!D12</f>
        <v>1080000.0000242996</v>
      </c>
      <c r="E7" s="35">
        <f>'📋 Premissas'!E12</f>
        <v>1800000.0000067698</v>
      </c>
      <c r="F7" s="46">
        <f>IF(C7&lt;&gt;0,(E7-C7)/ABS(C7),0)</f>
        <v>3.0000000002897882</v>
      </c>
    </row>
    <row r="8" spans="2:6" ht="18" customHeight="1" x14ac:dyDescent="0.2">
      <c r="B8" s="29" t="s">
        <v>110</v>
      </c>
      <c r="C8" s="35">
        <f>'📋 Premissas'!C18</f>
        <v>0</v>
      </c>
      <c r="D8" s="35">
        <f>'📋 Premissas'!D18</f>
        <v>0</v>
      </c>
      <c r="E8" s="35">
        <f>'📋 Premissas'!E18</f>
        <v>1200000</v>
      </c>
      <c r="F8" s="46">
        <f>IF(C8&lt;&gt;0,(E8-C8)/ABS(C8),0)</f>
        <v>0</v>
      </c>
    </row>
    <row r="9" spans="2:6" ht="19.5" customHeight="1" x14ac:dyDescent="0.2">
      <c r="B9" s="47" t="s">
        <v>111</v>
      </c>
      <c r="C9" s="37">
        <f>C7+C8</f>
        <v>449999.99996909127</v>
      </c>
      <c r="D9" s="37">
        <f>D7+D8</f>
        <v>1080000.0000242996</v>
      </c>
      <c r="E9" s="37">
        <f>E7+E8</f>
        <v>3000000.0000067698</v>
      </c>
      <c r="F9" s="48">
        <f>IF(C9&lt;&gt;0,(E9-C9)/ABS(C9),0)</f>
        <v>5.6666666671396175</v>
      </c>
    </row>
    <row r="11" spans="2:6" ht="21.75" customHeight="1" x14ac:dyDescent="0.2">
      <c r="B11" s="6" t="s">
        <v>112</v>
      </c>
      <c r="C11" s="6"/>
      <c r="D11" s="6"/>
      <c r="E11" s="6"/>
      <c r="F11" s="6"/>
    </row>
    <row r="12" spans="2:6" ht="18" customHeight="1" x14ac:dyDescent="0.2">
      <c r="B12" s="29" t="s">
        <v>113</v>
      </c>
      <c r="C12" s="35">
        <f>-'📋 Premissas'!C41*C9</f>
        <v>0</v>
      </c>
      <c r="D12" s="35">
        <f>-'📋 Premissas'!D41*D9</f>
        <v>0</v>
      </c>
      <c r="E12" s="35">
        <f>-'📋 Premissas'!E41*E9</f>
        <v>0</v>
      </c>
      <c r="F12" s="46">
        <f>IF(C12&lt;&gt;0,(E12-C12)/ABS(C12),0)</f>
        <v>0</v>
      </c>
    </row>
    <row r="13" spans="2:6" ht="19.5" customHeight="1" x14ac:dyDescent="0.2">
      <c r="B13" s="47" t="s">
        <v>114</v>
      </c>
      <c r="C13" s="37">
        <f>C9+C12</f>
        <v>449999.99996909127</v>
      </c>
      <c r="D13" s="37">
        <f>D9+D12</f>
        <v>1080000.0000242996</v>
      </c>
      <c r="E13" s="37">
        <f>E9+E12</f>
        <v>3000000.0000067698</v>
      </c>
      <c r="F13" s="48">
        <f>IF(C13&lt;&gt;0,(E13-C13)/ABS(C13),0)</f>
        <v>5.6666666671396175</v>
      </c>
    </row>
    <row r="14" spans="2:6" ht="18" customHeight="1" x14ac:dyDescent="0.2">
      <c r="B14" s="29" t="s">
        <v>115</v>
      </c>
      <c r="C14" s="46">
        <f>IF(C9&lt;&gt;0,C13/C9,0)</f>
        <v>1</v>
      </c>
      <c r="D14" s="46">
        <f>IF(D9&lt;&gt;0,D13/D9,0)</f>
        <v>1</v>
      </c>
      <c r="E14" s="46">
        <f>IF(E9&lt;&gt;0,E13/E9,0)</f>
        <v>1</v>
      </c>
      <c r="F14" s="49"/>
    </row>
    <row r="15" spans="2:6" ht="18" customHeight="1" x14ac:dyDescent="0.2">
      <c r="B15" s="29" t="s">
        <v>116</v>
      </c>
      <c r="C15" s="35">
        <f>-'📋 Premissas'!C23*12</f>
        <v>-924000</v>
      </c>
      <c r="D15" s="35">
        <f>-'📋 Premissas'!D23*12</f>
        <v>-1254000</v>
      </c>
      <c r="E15" s="35">
        <f>-'📋 Premissas'!E23*12</f>
        <v>-1854000</v>
      </c>
      <c r="F15" s="46">
        <f t="shared" ref="F15:F20" si="0">IF(C15&lt;&gt;0,(E15-C15)/ABS(C15),0)</f>
        <v>-1.0064935064935066</v>
      </c>
    </row>
    <row r="16" spans="2:6" ht="18" customHeight="1" x14ac:dyDescent="0.2">
      <c r="B16" s="29" t="s">
        <v>117</v>
      </c>
      <c r="C16" s="35">
        <f>-'📋 Premissas'!C24*12</f>
        <v>-99999.999995999999</v>
      </c>
      <c r="D16" s="35">
        <f>-'📋 Premissas'!D24*12</f>
        <v>-99999.999995999999</v>
      </c>
      <c r="E16" s="35">
        <f>-'📋 Premissas'!E24*12</f>
        <v>-99999.999995999999</v>
      </c>
      <c r="F16" s="46">
        <f t="shared" si="0"/>
        <v>0</v>
      </c>
    </row>
    <row r="17" spans="2:6" ht="18" customHeight="1" x14ac:dyDescent="0.2">
      <c r="B17" s="29" t="s">
        <v>118</v>
      </c>
      <c r="C17" s="35">
        <f>-'📋 Premissas'!C25*12</f>
        <v>0</v>
      </c>
      <c r="D17" s="35">
        <f>-'📋 Premissas'!D25*12</f>
        <v>0</v>
      </c>
      <c r="E17" s="35">
        <f>-'📋 Premissas'!E25*12</f>
        <v>0</v>
      </c>
      <c r="F17" s="46">
        <f t="shared" si="0"/>
        <v>0</v>
      </c>
    </row>
    <row r="18" spans="2:6" ht="18" customHeight="1" x14ac:dyDescent="0.2">
      <c r="B18" s="29" t="s">
        <v>119</v>
      </c>
      <c r="C18" s="35">
        <f>-'📋 Premissas'!C26*12</f>
        <v>-90000</v>
      </c>
      <c r="D18" s="35">
        <f>-'📋 Premissas'!D26*12</f>
        <v>-132000</v>
      </c>
      <c r="E18" s="35">
        <f>-'📋 Premissas'!E26*12</f>
        <v>-180000</v>
      </c>
      <c r="F18" s="46">
        <f t="shared" si="0"/>
        <v>-1</v>
      </c>
    </row>
    <row r="19" spans="2:6" ht="18" customHeight="1" x14ac:dyDescent="0.2">
      <c r="B19" s="29" t="s">
        <v>120</v>
      </c>
      <c r="C19" s="35">
        <f>-'📋 Premissas'!C27*12</f>
        <v>-48000</v>
      </c>
      <c r="D19" s="35">
        <f>-'📋 Premissas'!D27*12</f>
        <v>-104000.000004</v>
      </c>
      <c r="E19" s="35">
        <f>-'📋 Premissas'!E27*12</f>
        <v>-128000.00000000041</v>
      </c>
      <c r="F19" s="46">
        <f t="shared" si="0"/>
        <v>-1.6666666666666752</v>
      </c>
    </row>
    <row r="20" spans="2:6" ht="18" customHeight="1" x14ac:dyDescent="0.2">
      <c r="B20" s="29" t="s">
        <v>121</v>
      </c>
      <c r="C20" s="35">
        <f>-'📋 Premissas'!C30</f>
        <v>0</v>
      </c>
      <c r="D20" s="35">
        <f>-'📋 Premissas'!D30</f>
        <v>0</v>
      </c>
      <c r="E20" s="35">
        <f>-'📋 Premissas'!E30</f>
        <v>-255000.00000057544</v>
      </c>
      <c r="F20" s="46">
        <f t="shared" si="0"/>
        <v>0</v>
      </c>
    </row>
    <row r="21" spans="2:6" ht="21.75" customHeight="1" x14ac:dyDescent="0.2">
      <c r="B21" s="47" t="s">
        <v>122</v>
      </c>
      <c r="C21" s="37">
        <f>C13+C15+C16+C17+C18+C19+C20</f>
        <v>-712000.0000269087</v>
      </c>
      <c r="D21" s="37">
        <f>D13+D15+D16+D17+D18+D19+D20</f>
        <v>-509999.9999757004</v>
      </c>
      <c r="E21" s="37">
        <f>E13+E15+E16+E17+E18+E19+E20</f>
        <v>483000.00001019391</v>
      </c>
      <c r="F21" s="48">
        <f>IF(ABS(C21)&gt;0,(E21-C21)/ABS(C21),0)</f>
        <v>1.6783707865055333</v>
      </c>
    </row>
    <row r="22" spans="2:6" ht="18" customHeight="1" x14ac:dyDescent="0.2">
      <c r="B22" s="29" t="s">
        <v>123</v>
      </c>
      <c r="C22" s="46">
        <f>IF(C9&lt;&gt;0,C21/C9,0)</f>
        <v>-1.5822222223906959</v>
      </c>
      <c r="D22" s="46">
        <f>IF(D9&lt;&gt;0,D21/D9,0)</f>
        <v>-0.47222222218909776</v>
      </c>
      <c r="E22" s="46">
        <f>IF(E9&lt;&gt;0,E21/E9,0)</f>
        <v>0.16100000000303466</v>
      </c>
      <c r="F22" s="49"/>
    </row>
    <row r="23" spans="2:6" ht="15.75" customHeight="1" x14ac:dyDescent="0.2"/>
    <row r="24" spans="2:6" ht="21.75" customHeight="1" x14ac:dyDescent="0.2">
      <c r="B24" s="5" t="s">
        <v>124</v>
      </c>
      <c r="C24" s="5"/>
      <c r="D24" s="5"/>
      <c r="E24" s="5"/>
      <c r="F24" s="5"/>
    </row>
    <row r="25" spans="2:6" ht="18" customHeight="1" x14ac:dyDescent="0.2">
      <c r="B25" s="29" t="s">
        <v>125</v>
      </c>
      <c r="C25" s="50">
        <f>'📋 Premissas'!C37</f>
        <v>1000000</v>
      </c>
      <c r="D25" s="50">
        <f>C28</f>
        <v>87999.999973091297</v>
      </c>
      <c r="E25" s="50">
        <f>D28</f>
        <v>1130999.9999973909</v>
      </c>
      <c r="F25" s="49"/>
    </row>
    <row r="26" spans="2:6" ht="18" customHeight="1" x14ac:dyDescent="0.2">
      <c r="B26" s="29" t="s">
        <v>126</v>
      </c>
      <c r="C26" s="35">
        <f>'📋 Premissas'!C38</f>
        <v>0</v>
      </c>
      <c r="D26" s="35">
        <f>'📋 Premissas'!D38</f>
        <v>1553000</v>
      </c>
      <c r="E26" s="35">
        <f>'📋 Premissas'!E38</f>
        <v>0</v>
      </c>
      <c r="F26" s="49"/>
    </row>
    <row r="27" spans="2:6" ht="18" customHeight="1" x14ac:dyDescent="0.2">
      <c r="B27" s="29" t="s">
        <v>127</v>
      </c>
      <c r="C27" s="35">
        <f>-'📋 Premissas'!C36</f>
        <v>-200000</v>
      </c>
      <c r="D27" s="35">
        <f>-'📋 Premissas'!D36</f>
        <v>0</v>
      </c>
      <c r="E27" s="35">
        <f>-'📋 Premissas'!E36</f>
        <v>0</v>
      </c>
      <c r="F27" s="49"/>
    </row>
    <row r="28" spans="2:6" ht="21.75" customHeight="1" x14ac:dyDescent="0.2">
      <c r="B28" s="47" t="s">
        <v>128</v>
      </c>
      <c r="C28" s="43">
        <f>C25+C26+C27+C21</f>
        <v>87999.999973091297</v>
      </c>
      <c r="D28" s="43">
        <f>D25+D26+D27+D21</f>
        <v>1130999.9999973909</v>
      </c>
      <c r="E28" s="43">
        <f>E25+E26+E27+E21</f>
        <v>1614000.0000075847</v>
      </c>
      <c r="F28" s="51"/>
    </row>
    <row r="29" spans="2:6" ht="18" customHeight="1" x14ac:dyDescent="0.2">
      <c r="B29" s="29" t="s">
        <v>129</v>
      </c>
      <c r="C29" s="52">
        <f>IF(C21&lt;0,C28/ABS(C21)*12,999)</f>
        <v>1.48314606690616</v>
      </c>
      <c r="D29" s="52">
        <f>IF(D21&lt;0,D28/ABS(D21)*12,999)</f>
        <v>26.611764707088916</v>
      </c>
      <c r="E29" s="52">
        <f>IF(E21&lt;0,E28/ABS(E21)*12,999)</f>
        <v>999</v>
      </c>
      <c r="F29" s="49"/>
    </row>
    <row r="30" spans="2:6" ht="15.75" customHeight="1" x14ac:dyDescent="0.2"/>
    <row r="31" spans="2:6" ht="15.75" customHeight="1" x14ac:dyDescent="0.2"/>
    <row r="32" spans="2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F1"/>
    <mergeCell ref="B2:F2"/>
    <mergeCell ref="B6:F6"/>
    <mergeCell ref="B11:F11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showGridLines="0" topLeftCell="A3" zoomScale="122" zoomScaleNormal="100" workbookViewId="0">
      <selection activeCell="E21" sqref="E21"/>
    </sheetView>
  </sheetViews>
  <sheetFormatPr baseColWidth="10" defaultColWidth="14.5" defaultRowHeight="15" customHeight="1" x14ac:dyDescent="0.2"/>
  <cols>
    <col min="1" max="1" width="2" customWidth="1"/>
    <col min="2" max="2" width="30" customWidth="1"/>
    <col min="3" max="5" width="18" customWidth="1"/>
    <col min="6" max="6" width="4" customWidth="1"/>
    <col min="7" max="7" width="38" customWidth="1"/>
    <col min="8" max="8" width="22" customWidth="1"/>
    <col min="9" max="9" width="18" customWidth="1"/>
    <col min="10" max="26" width="8.6640625" customWidth="1"/>
  </cols>
  <sheetData>
    <row r="1" spans="2:9" ht="31.5" customHeight="1" x14ac:dyDescent="0.2">
      <c r="B1" s="1" t="s">
        <v>130</v>
      </c>
      <c r="C1" s="1"/>
      <c r="D1" s="1"/>
      <c r="E1" s="1"/>
      <c r="F1" s="1"/>
      <c r="G1" s="1"/>
      <c r="H1" s="1"/>
      <c r="I1" s="1"/>
    </row>
    <row r="2" spans="2:9" ht="13.5" customHeight="1" x14ac:dyDescent="0.2">
      <c r="B2" s="2" t="s">
        <v>131</v>
      </c>
      <c r="C2" s="2"/>
      <c r="D2" s="2"/>
      <c r="E2" s="2"/>
      <c r="F2" s="2"/>
      <c r="G2" s="2"/>
      <c r="H2" s="2"/>
      <c r="I2" s="2"/>
    </row>
    <row r="4" spans="2:9" ht="19.5" customHeight="1" x14ac:dyDescent="0.2">
      <c r="B4" s="82" t="s">
        <v>132</v>
      </c>
      <c r="C4" s="82"/>
      <c r="D4" s="82"/>
      <c r="E4" s="82"/>
      <c r="F4" s="82"/>
      <c r="G4" s="82"/>
      <c r="H4" s="82"/>
      <c r="I4" s="82"/>
    </row>
    <row r="5" spans="2:9" ht="15.75" customHeight="1" x14ac:dyDescent="0.2">
      <c r="B5" s="53" t="s">
        <v>133</v>
      </c>
      <c r="D5" s="53" t="s">
        <v>134</v>
      </c>
      <c r="G5" s="53" t="s">
        <v>135</v>
      </c>
    </row>
    <row r="6" spans="2:9" ht="25.5" customHeight="1" x14ac:dyDescent="0.2">
      <c r="B6" s="54">
        <f>'📊 Projeção 3 Anos'!E9</f>
        <v>3000000.0000067698</v>
      </c>
      <c r="D6" s="55">
        <f>'📋 Premissas'!E11</f>
        <v>20.000000000075222</v>
      </c>
      <c r="G6" s="56">
        <f>1-'📋 Premissas'!E41</f>
        <v>1</v>
      </c>
    </row>
    <row r="7" spans="2:9" ht="15.75" customHeight="1" x14ac:dyDescent="0.2">
      <c r="B7" s="57" t="s">
        <v>136</v>
      </c>
      <c r="D7" s="57" t="s">
        <v>137</v>
      </c>
      <c r="G7" s="57" t="s">
        <v>138</v>
      </c>
    </row>
    <row r="9" spans="2:9" ht="19.5" customHeight="1" x14ac:dyDescent="0.2">
      <c r="B9" s="8" t="s">
        <v>139</v>
      </c>
      <c r="C9" s="8"/>
      <c r="D9" s="8"/>
      <c r="E9" s="8"/>
      <c r="F9" s="8"/>
      <c r="G9" s="8"/>
      <c r="H9" s="8"/>
      <c r="I9" s="8"/>
    </row>
    <row r="10" spans="2:9" ht="18" customHeight="1" x14ac:dyDescent="0.2">
      <c r="B10" s="58" t="s">
        <v>140</v>
      </c>
      <c r="C10" s="59" t="s">
        <v>30</v>
      </c>
      <c r="D10" s="59" t="s">
        <v>31</v>
      </c>
      <c r="E10" s="59" t="s">
        <v>32</v>
      </c>
      <c r="G10" s="58" t="s">
        <v>141</v>
      </c>
      <c r="H10" s="58" t="s">
        <v>142</v>
      </c>
      <c r="I10" s="58" t="s">
        <v>143</v>
      </c>
    </row>
    <row r="11" spans="2:9" ht="18" customHeight="1" x14ac:dyDescent="0.2">
      <c r="B11" s="60" t="s">
        <v>144</v>
      </c>
      <c r="C11" s="61">
        <f>'📊 Projeção 3 Anos'!C9/12</f>
        <v>37499.999997424275</v>
      </c>
      <c r="D11" s="61">
        <f>'📊 Projeção 3 Anos'!D9/12</f>
        <v>90000.000002024972</v>
      </c>
      <c r="E11" s="61">
        <f>'📊 Projeção 3 Anos'!E9/12</f>
        <v>250000.00000056415</v>
      </c>
      <c r="F11" s="62"/>
      <c r="G11" s="63" t="s">
        <v>145</v>
      </c>
      <c r="H11" s="64" t="s">
        <v>146</v>
      </c>
      <c r="I11" s="65" t="str">
        <f>IF('📊 Projeção 3 Anos'!E9/12&gt;=80000,"✅ Ótimo",IF('📊 Projeção 3 Anos'!E9/12&gt;=30000,"🟡 Em crescimento","🔴 Abaixo"))</f>
        <v>✅ Ótimo</v>
      </c>
    </row>
    <row r="12" spans="2:9" ht="18" customHeight="1" x14ac:dyDescent="0.2">
      <c r="B12" s="66" t="s">
        <v>147</v>
      </c>
      <c r="C12" s="67">
        <f>'📊 Projeção 3 Anos'!C9</f>
        <v>449999.99996909127</v>
      </c>
      <c r="D12" s="67">
        <f>'📊 Projeção 3 Anos'!D9</f>
        <v>1080000.0000242996</v>
      </c>
      <c r="E12" s="67">
        <f>'📊 Projeção 3 Anos'!E9</f>
        <v>3000000.0000067698</v>
      </c>
      <c r="F12" s="62"/>
      <c r="G12" s="68" t="s">
        <v>148</v>
      </c>
      <c r="H12" s="69" t="s">
        <v>149</v>
      </c>
      <c r="I12" s="70" t="str">
        <f>IF('📊 Projeção 3 Anos'!E9&gt;=1000000,"✅ Ótimo",IF('📊 Projeção 3 Anos'!E9&gt;=300000,"🟡 Em crescimento","🔴 Abaixo"))</f>
        <v>✅ Ótimo</v>
      </c>
    </row>
    <row r="13" spans="2:9" ht="18" customHeight="1" x14ac:dyDescent="0.2">
      <c r="B13" s="60" t="s">
        <v>134</v>
      </c>
      <c r="C13" s="71">
        <f>'📋 Premissas'!C11</f>
        <v>4.9999999996565698</v>
      </c>
      <c r="D13" s="71">
        <f>'📋 Premissas'!D11</f>
        <v>12.000000000269996</v>
      </c>
      <c r="E13" s="71">
        <f>'📋 Premissas'!E11</f>
        <v>20.000000000075222</v>
      </c>
      <c r="F13" s="62"/>
      <c r="G13" s="63" t="s">
        <v>150</v>
      </c>
      <c r="H13" s="64" t="s">
        <v>151</v>
      </c>
      <c r="I13" s="65" t="str">
        <f>IF('📋 Premissas'!E11&gt;=300,"✅ Ótimo",IF('📋 Premissas'!E11&gt;=100,"🟡 Ok","🔴 Abaixo"))</f>
        <v>🔴 Abaixo</v>
      </c>
    </row>
    <row r="14" spans="2:9" ht="18" customHeight="1" x14ac:dyDescent="0.2">
      <c r="B14" s="66" t="s">
        <v>152</v>
      </c>
      <c r="C14" s="72">
        <f>'📋 Premissas'!C10</f>
        <v>6.6666666666666693E-2</v>
      </c>
      <c r="D14" s="72">
        <f>'📋 Premissas'!D10</f>
        <v>6.6666666666666693E-2</v>
      </c>
      <c r="E14" s="72">
        <f>'📋 Premissas'!E10</f>
        <v>6.6666666666666693E-2</v>
      </c>
      <c r="F14" s="62"/>
      <c r="G14" s="68" t="s">
        <v>153</v>
      </c>
      <c r="H14" s="69" t="s">
        <v>154</v>
      </c>
      <c r="I14" s="70" t="str">
        <f>IF('📋 Premissas'!E10&lt;=0.02,"✅ Ótimo",IF('📋 Premissas'!E10&lt;=0.04,"🟡 Aceitável","🔴 Alto"))</f>
        <v>🔴 Alto</v>
      </c>
    </row>
    <row r="15" spans="2:9" ht="18" customHeight="1" x14ac:dyDescent="0.2">
      <c r="B15" s="60" t="s">
        <v>155</v>
      </c>
      <c r="C15" s="61">
        <v>24000</v>
      </c>
      <c r="D15" s="61">
        <v>24000</v>
      </c>
      <c r="E15" s="61">
        <v>24000</v>
      </c>
      <c r="F15" s="62"/>
      <c r="G15" s="63" t="s">
        <v>156</v>
      </c>
      <c r="H15" s="64" t="s">
        <v>157</v>
      </c>
      <c r="I15" s="65" t="s">
        <v>158</v>
      </c>
    </row>
    <row r="16" spans="2:9" ht="18" customHeight="1" x14ac:dyDescent="0.2">
      <c r="B16" s="66" t="s">
        <v>159</v>
      </c>
      <c r="C16" s="67">
        <f>IF('📋 Premissas'!C10&gt;0,'📋 Premissas'!C8/'📋 Premissas'!C10,0)</f>
        <v>112499.99999999996</v>
      </c>
      <c r="D16" s="67">
        <f>IF('📋 Premissas'!D10&gt;0,'📋 Premissas'!D8/'📋 Premissas'!D10,0)</f>
        <v>112499.99999999996</v>
      </c>
      <c r="E16" s="67">
        <f>IF('📋 Premissas'!E10&gt;0,'📋 Premissas'!E8/'📋 Premissas'!E10,0)</f>
        <v>112499.99999999996</v>
      </c>
      <c r="F16" s="62"/>
      <c r="G16" s="68" t="s">
        <v>160</v>
      </c>
      <c r="H16" s="69" t="s">
        <v>161</v>
      </c>
      <c r="I16" s="70" t="s">
        <v>158</v>
      </c>
    </row>
    <row r="17" spans="2:9" ht="18" customHeight="1" x14ac:dyDescent="0.2">
      <c r="B17" s="60" t="s">
        <v>162</v>
      </c>
      <c r="C17" s="73">
        <f>IF(C15&gt;0,C16/C15,0)</f>
        <v>4.6874999999999982</v>
      </c>
      <c r="D17" s="73">
        <f>IF(D15&gt;0,D16/D15,0)</f>
        <v>4.6874999999999982</v>
      </c>
      <c r="E17" s="73">
        <f>IF(E15&gt;0,E16/E15,0)</f>
        <v>4.6874999999999982</v>
      </c>
      <c r="F17" s="62"/>
      <c r="G17" s="63" t="s">
        <v>163</v>
      </c>
      <c r="H17" s="64" t="s">
        <v>164</v>
      </c>
      <c r="I17" s="65" t="str">
        <f>IF(IF(IF('📋 Premissas'!E9&gt;0,('📋 Premissas'!E24+'📋 Premissas'!E25)/'📋 Premissas'!E9,0)&gt;0,IF('📋 Premissas'!E10&gt;0,'📋 Premissas'!E8/'📋 Premissas'!E10,0)/IF('📋 Premissas'!E9&gt;0,('📋 Premissas'!E24+'📋 Premissas'!E25)/'📋 Premissas'!E9,0),0)&gt;=5,"✅ Excelente",IF(IF(IF('📋 Premissas'!E9&gt;0,('📋 Premissas'!E24+'📋 Premissas'!E25)/'📋 Premissas'!E9,0)&gt;0,IF('📋 Premissas'!E10&gt;0,'📋 Premissas'!E8/'📋 Premissas'!E10,0)/IF('📋 Premissas'!E9&gt;0,('📋 Premissas'!E24+'📋 Premissas'!E25)/'📋 Premissas'!E9,0),0)&gt;=3,"🟡 Aceitável","🔴 Atenção"))</f>
        <v>✅ Excelente</v>
      </c>
    </row>
    <row r="18" spans="2:9" ht="18" customHeight="1" x14ac:dyDescent="0.2">
      <c r="B18" s="66" t="s">
        <v>165</v>
      </c>
      <c r="C18" s="74">
        <f>IF(C15&gt;0,C15/'📋 Premissas'!C8,0)</f>
        <v>3.2</v>
      </c>
      <c r="D18" s="74">
        <f>IF(D15&gt;0,D15/'📋 Premissas'!D8,0)</f>
        <v>3.2</v>
      </c>
      <c r="E18" s="74">
        <f>IF(E15&gt;0,E15/'📋 Premissas'!E8,0)</f>
        <v>3.2</v>
      </c>
      <c r="F18" s="62"/>
      <c r="G18" s="68" t="s">
        <v>166</v>
      </c>
      <c r="H18" s="69" t="s">
        <v>167</v>
      </c>
      <c r="I18" s="70" t="str">
        <f>IF(IF('📋 Premissas'!E8&gt;0,IF('📋 Premissas'!E9&gt;0,('📋 Premissas'!E24+'📋 Premissas'!E25)/'📋 Premissas'!E9,0)/'📋 Premissas'!E8,0)&lt;=6,"✅ Rápido",IF(IF('📋 Premissas'!E8&gt;0,IF('📋 Premissas'!E9&gt;0,('📋 Premissas'!E24+'📋 Premissas'!E25)/'📋 Premissas'!E9,0)/'📋 Premissas'!E8,0)&lt;=12,"🟡 Ok","🔴 Lento"))</f>
        <v>✅ Rápido</v>
      </c>
    </row>
    <row r="19" spans="2:9" ht="18" customHeight="1" x14ac:dyDescent="0.2">
      <c r="B19" s="60" t="s">
        <v>135</v>
      </c>
      <c r="C19" s="75">
        <f>1-'📋 Premissas'!C41</f>
        <v>1</v>
      </c>
      <c r="D19" s="75">
        <f>1-'📋 Premissas'!D41</f>
        <v>1</v>
      </c>
      <c r="E19" s="75">
        <f>1-'📋 Premissas'!E41</f>
        <v>1</v>
      </c>
      <c r="F19" s="62"/>
      <c r="G19" s="63" t="s">
        <v>168</v>
      </c>
      <c r="H19" s="64" t="s">
        <v>169</v>
      </c>
      <c r="I19" s="65" t="str">
        <f>IF(1-'📋 Premissas'!E41&gt;=0.6,"✅ Saudável",IF(1-'📋 Premissas'!E41&gt;=0.4,"🟡 Ok","🔴 Baixa"))</f>
        <v>✅ Saudável</v>
      </c>
    </row>
    <row r="20" spans="2:9" ht="18" customHeight="1" x14ac:dyDescent="0.2">
      <c r="B20" s="66" t="s">
        <v>170</v>
      </c>
      <c r="C20" s="67">
        <f>'📊 Projeção 3 Anos'!C21</f>
        <v>-712000.0000269087</v>
      </c>
      <c r="D20" s="67">
        <f>'📊 Projeção 3 Anos'!D21</f>
        <v>-509999.9999757004</v>
      </c>
      <c r="E20" s="67">
        <f>'📊 Projeção 3 Anos'!E21</f>
        <v>483000.00001019391</v>
      </c>
      <c r="F20" s="62"/>
      <c r="G20" s="68" t="s">
        <v>171</v>
      </c>
      <c r="H20" s="69" t="s">
        <v>172</v>
      </c>
      <c r="I20" s="70" t="str">
        <f>IF('📊 Projeção 3 Anos'!E21&gt;0,"✅ Lucrativo","🔴 Queimando caixa")</f>
        <v>✅ Lucrativo</v>
      </c>
    </row>
    <row r="21" spans="2:9" ht="18" customHeight="1" x14ac:dyDescent="0.2">
      <c r="B21" s="60" t="s">
        <v>173</v>
      </c>
      <c r="C21" s="75">
        <f>'📊 Projeção 3 Anos'!C22</f>
        <v>-1.5822222223906959</v>
      </c>
      <c r="D21" s="75">
        <f>'📊 Projeção 3 Anos'!D22</f>
        <v>-0.47222222218909776</v>
      </c>
      <c r="E21" s="75">
        <f>'📊 Projeção 3 Anos'!E22</f>
        <v>0.16100000000303466</v>
      </c>
      <c r="F21" s="62"/>
      <c r="G21" s="63" t="s">
        <v>174</v>
      </c>
      <c r="H21" s="64" t="s">
        <v>175</v>
      </c>
      <c r="I21" s="65" t="str">
        <f>IF('📊 Projeção 3 Anos'!E22&gt;=0.15,"✅ Saudável",IF('📊 Projeção 3 Anos'!E22&gt;=0,"🟡 Break-even","🔴 Negativo"))</f>
        <v>✅ Saudável</v>
      </c>
    </row>
    <row r="22" spans="2:9" ht="18" customHeight="1" x14ac:dyDescent="0.2">
      <c r="B22" s="66" t="s">
        <v>176</v>
      </c>
      <c r="C22" s="74">
        <f>'📊 Projeção 3 Anos'!C29</f>
        <v>1.48314606690616</v>
      </c>
      <c r="D22" s="74">
        <f>'📊 Projeção 3 Anos'!D29</f>
        <v>26.611764707088916</v>
      </c>
      <c r="E22" s="74">
        <f>'📊 Projeção 3 Anos'!E29</f>
        <v>999</v>
      </c>
      <c r="F22" s="62"/>
      <c r="G22" s="68" t="s">
        <v>177</v>
      </c>
      <c r="H22" s="69" t="s">
        <v>178</v>
      </c>
      <c r="I22" s="70" t="str">
        <f>IF('📊 Projeção 3 Anos'!E29&gt;=18,"✅ Confortável",IF('📊 Projeção 3 Anos'!E29&gt;=12,"🟡 Ok","🔴 Crítico"))</f>
        <v>✅ Confortável</v>
      </c>
    </row>
    <row r="23" spans="2:9" ht="18" customHeight="1" x14ac:dyDescent="0.2">
      <c r="B23" s="60" t="s">
        <v>179</v>
      </c>
      <c r="C23" s="75" t="s">
        <v>158</v>
      </c>
      <c r="D23" s="75">
        <f>IF('📊 Projeção 3 Anos'!C9&gt;0,('📊 Projeção 3 Anos'!D9-'📊 Projeção 3 Anos'!C9)/'📊 Projeção 3 Anos'!C9,0)</f>
        <v>1.4000000002188457</v>
      </c>
      <c r="E23" s="75">
        <f>IF('📊 Projeção 3 Anos'!D9&gt;0,('📊 Projeção 3 Anos'!E9-'📊 Projeção 3 Anos'!D9)/'📊 Projeção 3 Anos'!D9,0)</f>
        <v>1.7777777777215471</v>
      </c>
      <c r="F23" s="62"/>
      <c r="G23" s="63" t="s">
        <v>180</v>
      </c>
      <c r="H23" s="64" t="s">
        <v>181</v>
      </c>
      <c r="I23" s="65" t="str">
        <f>IF(IF('📊 Projeção 3 Anos'!D9&gt;0,('📊 Projeção 3 Anos'!E9-'📊 Projeção 3 Anos'!D9)/'📊 Projeção 3 Anos'!D9,0)&gt;=0.8,"✅ Alta velocidade",IF(IF('📊 Projeção 3 Anos'!D9&gt;0,('📊 Projeção 3 Anos'!E9-'📊 Projeção 3 Anos'!D9)/'📊 Projeção 3 Anos'!D9,0)&gt;=0.4,"🟡 Moderado","🔴 Lento"))</f>
        <v>✅ Alta velocidade</v>
      </c>
    </row>
    <row r="24" spans="2:9" ht="15.75" customHeight="1" x14ac:dyDescent="0.2"/>
    <row r="25" spans="2:9" ht="24" customHeight="1" x14ac:dyDescent="0.2">
      <c r="B25" s="83" t="s">
        <v>182</v>
      </c>
      <c r="C25" s="83"/>
      <c r="D25" s="83"/>
      <c r="E25" s="83"/>
      <c r="F25" s="83"/>
      <c r="G25" s="83"/>
      <c r="H25" s="83"/>
      <c r="I25" s="83"/>
    </row>
    <row r="26" spans="2:9" ht="15.75" customHeight="1" x14ac:dyDescent="0.2"/>
    <row r="27" spans="2:9" ht="15.75" customHeight="1" x14ac:dyDescent="0.2"/>
    <row r="28" spans="2:9" ht="15.75" customHeight="1" x14ac:dyDescent="0.2"/>
    <row r="29" spans="2:9" ht="15.75" customHeight="1" x14ac:dyDescent="0.2"/>
    <row r="30" spans="2:9" ht="15.75" customHeight="1" x14ac:dyDescent="0.2"/>
    <row r="31" spans="2:9" ht="15.75" customHeight="1" x14ac:dyDescent="0.2"/>
    <row r="32" spans="2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I1"/>
    <mergeCell ref="B2:I2"/>
    <mergeCell ref="B4:I4"/>
    <mergeCell ref="B9:I9"/>
    <mergeCell ref="B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0"/>
  <sheetViews>
    <sheetView showGridLines="0" tabSelected="1" zoomScaleNormal="100" workbookViewId="0">
      <selection activeCell="C8" sqref="C8"/>
    </sheetView>
  </sheetViews>
  <sheetFormatPr baseColWidth="10" defaultColWidth="14.5" defaultRowHeight="15" customHeight="1" x14ac:dyDescent="0.2"/>
  <cols>
    <col min="1" max="1" width="3" customWidth="1"/>
    <col min="2" max="2" width="25" customWidth="1"/>
    <col min="3" max="3" width="55" customWidth="1"/>
    <col min="4" max="4" width="22" customWidth="1"/>
    <col min="5" max="26" width="8.6640625" customWidth="1"/>
  </cols>
  <sheetData>
    <row r="1" spans="2:4" ht="27.75" customHeight="1" x14ac:dyDescent="0.2">
      <c r="B1" s="3" t="s">
        <v>183</v>
      </c>
      <c r="C1" s="3"/>
      <c r="D1" s="3"/>
    </row>
    <row r="2" spans="2:4" ht="18" customHeight="1" x14ac:dyDescent="0.2">
      <c r="B2" s="36" t="s">
        <v>184</v>
      </c>
      <c r="C2" s="36" t="s">
        <v>185</v>
      </c>
      <c r="D2" s="36" t="s">
        <v>186</v>
      </c>
    </row>
    <row r="3" spans="2:4" ht="42" customHeight="1" x14ac:dyDescent="0.2">
      <c r="B3" s="76" t="s">
        <v>187</v>
      </c>
      <c r="C3" s="77" t="s">
        <v>188</v>
      </c>
      <c r="D3" s="78" t="s">
        <v>189</v>
      </c>
    </row>
    <row r="4" spans="2:4" ht="42" customHeight="1" x14ac:dyDescent="0.2">
      <c r="B4" s="79" t="s">
        <v>190</v>
      </c>
      <c r="C4" s="80" t="s">
        <v>191</v>
      </c>
      <c r="D4" s="81" t="s">
        <v>192</v>
      </c>
    </row>
    <row r="5" spans="2:4" ht="42" customHeight="1" x14ac:dyDescent="0.2">
      <c r="B5" s="76" t="s">
        <v>162</v>
      </c>
      <c r="C5" s="77" t="s">
        <v>193</v>
      </c>
      <c r="D5" s="78" t="s">
        <v>194</v>
      </c>
    </row>
    <row r="6" spans="2:4" ht="42" customHeight="1" x14ac:dyDescent="0.2">
      <c r="B6" s="79" t="s">
        <v>195</v>
      </c>
      <c r="C6" s="80" t="s">
        <v>196</v>
      </c>
      <c r="D6" s="81" t="s">
        <v>197</v>
      </c>
    </row>
    <row r="7" spans="2:4" ht="42" customHeight="1" x14ac:dyDescent="0.2">
      <c r="B7" s="76" t="s">
        <v>198</v>
      </c>
      <c r="C7" s="77" t="s">
        <v>199</v>
      </c>
      <c r="D7" s="78" t="s">
        <v>200</v>
      </c>
    </row>
    <row r="8" spans="2:4" ht="42" customHeight="1" x14ac:dyDescent="0.2">
      <c r="B8" s="79" t="s">
        <v>201</v>
      </c>
      <c r="C8" s="80" t="s">
        <v>202</v>
      </c>
      <c r="D8" s="81" t="s">
        <v>203</v>
      </c>
    </row>
    <row r="9" spans="2:4" ht="42" customHeight="1" x14ac:dyDescent="0.2">
      <c r="B9" s="76" t="s">
        <v>204</v>
      </c>
      <c r="C9" s="77" t="s">
        <v>205</v>
      </c>
      <c r="D9" s="78" t="s">
        <v>206</v>
      </c>
    </row>
    <row r="10" spans="2:4" ht="42" customHeight="1" x14ac:dyDescent="0.2">
      <c r="B10" s="79" t="s">
        <v>207</v>
      </c>
      <c r="C10" s="80" t="s">
        <v>208</v>
      </c>
      <c r="D10" s="81" t="s">
        <v>209</v>
      </c>
    </row>
    <row r="11" spans="2:4" ht="42" customHeight="1" x14ac:dyDescent="0.2">
      <c r="B11" s="76" t="s">
        <v>210</v>
      </c>
      <c r="C11" s="77" t="s">
        <v>211</v>
      </c>
      <c r="D11" s="78" t="s">
        <v>212</v>
      </c>
    </row>
    <row r="12" spans="2:4" ht="42" customHeight="1" x14ac:dyDescent="0.2">
      <c r="B12" s="79" t="s">
        <v>213</v>
      </c>
      <c r="C12" s="80" t="s">
        <v>214</v>
      </c>
      <c r="D12" s="81" t="s">
        <v>215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🏠 Instruções</vt:lpstr>
      <vt:lpstr>📋 Premissas</vt:lpstr>
      <vt:lpstr>📊 Projeção 3 Anos</vt:lpstr>
      <vt:lpstr>🚀 Dashboard Investidor</vt:lpstr>
      <vt:lpstr>📚 Guia Investidores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Zagallo</cp:lastModifiedBy>
  <dcterms:created xsi:type="dcterms:W3CDTF">2026-08-14T22:29:06Z</dcterms:created>
  <dcterms:modified xsi:type="dcterms:W3CDTF">2026-08-14T22:29:06Z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2026-05-20T19:59:46Z</dcterms:created>
  <dc:creator>openpyxl</dc:creator>
  <dc:description/>
  <dc:language>en-US</dc:language>
  <cp:lastModifiedBy>Mirella Botelho de Aguiar Lisboa</cp:lastModifiedBy>
  <dcterms:modified xsi:type="dcterms:W3CDTF">2026-08-14T22:16:42Z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0x010100738B969FA4CB8846B7BEDDE5CC6FADC2</vt:lpwstr>
  </property>
  <property fmtid="{D5CDD505-2E9C-101B-9397-08002B2CF9AE}" pid="3" name="MediaServiceImageTags">
    <vt:lpwstr/>
  </property>
</Properties>
</file>